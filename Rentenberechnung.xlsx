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te 2025" sheetId="1" r:id="rId5"/>
    <sheet state="visible" name="Rente 2024" sheetId="2" r:id="rId6"/>
    <sheet state="visible" name="Rente 2023" sheetId="3" r:id="rId7"/>
    <sheet state="visible" name="Rente 2022" sheetId="4" r:id="rId8"/>
    <sheet state="visible" name="Übersicht" sheetId="5" r:id="rId9"/>
  </sheets>
  <definedNames>
    <definedName localSheetId="2" name="mtHeute">'Rente 2023'!$C$12</definedName>
    <definedName name="mtHeute">'Rente 2022'!$C$12</definedName>
    <definedName localSheetId="2" name="bonus">'Rente 2023'!$B$14</definedName>
    <definedName localSheetId="0" name="mtKoord">'Rente 2025'!$G$12</definedName>
    <definedName localSheetId="1" name="bonus">'Rente 2024'!$B$15</definedName>
    <definedName name="bonus">'Rente 2022'!$B$14</definedName>
    <definedName localSheetId="1" name="mtHeute">'Rente 2024'!$C$13</definedName>
    <definedName localSheetId="0" name="mtHeute">'Rente 2025'!$C$13</definedName>
    <definedName localSheetId="2" name="mtKoord">'Rente 2023'!$G$11</definedName>
    <definedName name="heute">'Übersicht'!$C$3</definedName>
    <definedName localSheetId="1" name="mtKoord">'Rente 2024'!$G$12</definedName>
    <definedName localSheetId="0" name="bonus">'Rente 2025'!$B$15</definedName>
    <definedName name="mtKoord">'Rente 2022'!$G$11</definedName>
  </definedNames>
  <calcPr/>
</workbook>
</file>

<file path=xl/sharedStrings.xml><?xml version="1.0" encoding="utf-8"?>
<sst xmlns="http://schemas.openxmlformats.org/spreadsheetml/2006/main" count="301" uniqueCount="86">
  <si>
    <t>Einkünfte</t>
  </si>
  <si>
    <t>pro Jahr</t>
  </si>
  <si>
    <t>pro Monat</t>
  </si>
  <si>
    <t>Sozialabzüge</t>
  </si>
  <si>
    <t>Steuern</t>
  </si>
  <si>
    <t>Brutto</t>
  </si>
  <si>
    <t>AHV-Beitrag</t>
  </si>
  <si>
    <t>ALV-Beitrag</t>
  </si>
  <si>
    <t>ALV-Zusatz</t>
  </si>
  <si>
    <t>NBU</t>
  </si>
  <si>
    <t>KTG</t>
  </si>
  <si>
    <t>PK-Sparen</t>
  </si>
  <si>
    <t>PK-Risiko</t>
  </si>
  <si>
    <t>vor Steuern</t>
  </si>
  <si>
    <t>nach Steuern</t>
  </si>
  <si>
    <t>aus PK *)</t>
  </si>
  <si>
    <t>Faktoren</t>
  </si>
  <si>
    <t>SGSt</t>
  </si>
  <si>
    <t>aus AHV</t>
  </si>
  <si>
    <t>DBSt</t>
  </si>
  <si>
    <t>- Einkommen</t>
  </si>
  <si>
    <t>...</t>
  </si>
  <si>
    <t>AHV (13.)</t>
  </si>
  <si>
    <t>KiZu</t>
  </si>
  <si>
    <t>- Vermögen</t>
  </si>
  <si>
    <t>Kinderzulage</t>
  </si>
  <si>
    <t>Total</t>
  </si>
  <si>
    <t>Kinderrente (bis 18/25)</t>
  </si>
  <si>
    <t>Annahme</t>
  </si>
  <si>
    <t>Heute</t>
  </si>
  <si>
    <t>Bonus</t>
  </si>
  <si>
    <t>Bonus 23</t>
  </si>
  <si>
    <t>Spesen</t>
  </si>
  <si>
    <t>einf. Steuer</t>
  </si>
  <si>
    <t>Steuerbetrag</t>
  </si>
  <si>
    <t>Vorsorgelücke</t>
  </si>
  <si>
    <t>-Elterntarif</t>
  </si>
  <si>
    <t>*) gem. Versicherungsausweis PK SG - 31.1.22</t>
  </si>
  <si>
    <t>https://www.pk.stadt.sg.ch/infocenter/rechner</t>
  </si>
  <si>
    <t>*) gem. Versicherungsausweis PK SG – 31.1.2023</t>
  </si>
  <si>
    <t>Steuern 2020</t>
  </si>
  <si>
    <t>Vorsorgelücke nach approx. Steuer</t>
  </si>
  <si>
    <t>Staats- und Gde</t>
  </si>
  <si>
    <t>Für die Berechnung PK pro Jahr massgebend</t>
  </si>
  <si>
    <t>Sparguthaben Alter 65</t>
  </si>
  <si>
    <t>ohne Zins</t>
  </si>
  <si>
    <t>*) gem. Versicherungsausweis PK SG – 3.2.2025</t>
  </si>
  <si>
    <t>mit Zins</t>
  </si>
  <si>
    <t>UWS</t>
  </si>
  <si>
    <t>Steuern 24</t>
  </si>
  <si>
    <t>Umwandlungssatz</t>
  </si>
  <si>
    <t>zus. Einzahlungen von ca. KCHF 30 jährlich</t>
  </si>
  <si>
    <t>Jahre</t>
  </si>
  <si>
    <t>*) gem. Versicherungsausweis PK SG – 31.1.2026</t>
  </si>
  <si>
    <t>Per 2030</t>
  </si>
  <si>
    <t>ohne zus. Einzahlungen</t>
  </si>
  <si>
    <t>zus. Einzahlungen pro Jahr</t>
  </si>
  <si>
    <t>mit zus. Einzahlungen</t>
  </si>
  <si>
    <t>Erklärung:</t>
  </si>
  <si>
    <t>Zuerst Betrag aus K31</t>
  </si>
  <si>
    <t>auf B5 übertragen und rechnen</t>
  </si>
  <si>
    <t>Vorsorgelücke pro Jahr in M31 übertragen</t>
  </si>
  <si>
    <t>Situation 3a</t>
  </si>
  <si>
    <t>Danach Betrag K29</t>
  </si>
  <si>
    <t>Police</t>
  </si>
  <si>
    <t>Valuta</t>
  </si>
  <si>
    <t>Überschuss</t>
  </si>
  <si>
    <t>Wert</t>
  </si>
  <si>
    <t>Fälligkeit</t>
  </si>
  <si>
    <t>Auszahlung</t>
  </si>
  <si>
    <t xml:space="preserve">Raiffeisen </t>
  </si>
  <si>
    <t>Mörschwil</t>
  </si>
  <si>
    <t>618.087.740.4</t>
  </si>
  <si>
    <t>12.8.24</t>
  </si>
  <si>
    <t>St. Gallen</t>
  </si>
  <si>
    <t>668.234.484.1</t>
  </si>
  <si>
    <t>31.12.23</t>
  </si>
  <si>
    <t>Helvetia</t>
  </si>
  <si>
    <t>1260.P0.600640036</t>
  </si>
  <si>
    <t>26.6.21</t>
  </si>
  <si>
    <t>31.7.2030</t>
  </si>
  <si>
    <t>24.6.23</t>
  </si>
  <si>
    <t>1.8.24</t>
  </si>
  <si>
    <t>Jahreslücke</t>
  </si>
  <si>
    <t>Monatslücke</t>
  </si>
  <si>
    <t>Annahme PIN (mit zus. Einzahlungen)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</si>
</sst>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15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/>
    <font>
      <b/>
      <sz val="11.0"/>
      <color rgb="FFFFFFFF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color theme="1"/>
      <name val="Arial"/>
      <scheme val="minor"/>
    </font>
    <font>
      <u/>
      <sz val="11.0"/>
      <color rgb="FF0000FF"/>
      <name val="Cambria"/>
    </font>
    <font>
      <sz val="10.0"/>
      <color rgb="FF000000"/>
      <name val="Arial"/>
    </font>
    <font>
      <sz val="11.0"/>
      <color theme="1"/>
      <name val="Arial"/>
    </font>
    <font>
      <sz val="14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8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7F6000"/>
        <bgColor rgb="FF7F6000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81D41A"/>
      </patternFill>
    </fill>
    <fill>
      <patternFill patternType="solid">
        <fgColor rgb="FFF9CB9C"/>
        <bgColor rgb="FFF9CB9C"/>
      </patternFill>
    </fill>
    <fill>
      <patternFill patternType="solid">
        <fgColor rgb="FFFFBF00"/>
        <bgColor rgb="FFFFBF00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2A6099"/>
        <bgColor rgb="FF2A6099"/>
      </patternFill>
    </fill>
    <fill>
      <patternFill patternType="solid">
        <fgColor rgb="FF127622"/>
        <bgColor rgb="FF127622"/>
      </patternFill>
    </fill>
    <fill>
      <patternFill patternType="solid">
        <fgColor rgb="FFFF5429"/>
        <bgColor rgb="FFFF5429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3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4" fontId="4" numFmtId="0" xfId="0" applyAlignment="1" applyBorder="1" applyFill="1" applyFont="1">
      <alignment horizontal="center" shrinkToFit="0" vertical="bottom" wrapText="0"/>
    </xf>
    <xf borderId="1" fillId="2" fontId="2" numFmtId="10" xfId="0" applyAlignment="1" applyBorder="1" applyFont="1" applyNumberFormat="1">
      <alignment horizontal="center" shrinkToFit="0" vertical="bottom" wrapText="0"/>
    </xf>
    <xf borderId="1" fillId="2" fontId="2" numFmtId="164" xfId="0" applyAlignment="1" applyBorder="1" applyFont="1" applyNumberFormat="1">
      <alignment horizontal="center" shrinkToFit="0" vertical="bottom" wrapText="0"/>
    </xf>
    <xf borderId="1" fillId="2" fontId="2" numFmtId="4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5" fontId="2" numFmtId="4" xfId="0" applyAlignment="1" applyBorder="1" applyFill="1" applyFont="1" applyNumberFormat="1">
      <alignment readingOrder="0" shrinkToFit="0" vertical="bottom" wrapText="0"/>
    </xf>
    <xf borderId="1" fillId="6" fontId="2" numFmtId="4" xfId="0" applyAlignment="1" applyBorder="1" applyFill="1" applyFont="1" applyNumberForma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1" fillId="5" fontId="2" numFmtId="4" xfId="0" applyAlignment="1" applyBorder="1" applyFont="1" applyNumberFormat="1">
      <alignment shrinkToFit="0" vertical="bottom" wrapText="0"/>
    </xf>
    <xf borderId="0" fillId="3" fontId="1" numFmtId="3" xfId="0" applyAlignment="1" applyFont="1" applyNumberFormat="1">
      <alignment readingOrder="0"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3" fontId="5" numFmtId="0" xfId="0" applyAlignment="1" applyFont="1">
      <alignment horizontal="center" readingOrder="0"/>
    </xf>
    <xf borderId="0" fillId="0" fontId="2" numFmtId="4" xfId="0" applyAlignment="1" applyFont="1" applyNumberFormat="1">
      <alignment readingOrder="0" shrinkToFit="0" vertical="bottom" wrapText="0"/>
    </xf>
    <xf borderId="0" fillId="6" fontId="2" numFmtId="4" xfId="0" applyAlignment="1" applyFont="1" applyNumberFormat="1">
      <alignment readingOrder="0" shrinkToFit="0" vertical="bottom" wrapText="0"/>
    </xf>
    <xf borderId="0" fillId="0" fontId="6" numFmtId="10" xfId="0" applyAlignment="1" applyFont="1" applyNumberFormat="1">
      <alignment shrinkToFit="0" vertical="bottom" wrapText="0"/>
    </xf>
    <xf quotePrefix="1" borderId="0" fillId="3" fontId="5" numFmtId="0" xfId="0" applyAlignment="1" applyFont="1">
      <alignment readingOrder="0"/>
    </xf>
    <xf borderId="0" fillId="0" fontId="2" numFmtId="3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/>
    </xf>
    <xf borderId="1" fillId="2" fontId="1" numFmtId="4" xfId="0" applyAlignment="1" applyBorder="1" applyFont="1" applyNumberForma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3" fontId="5" numFmtId="0" xfId="0" applyFont="1"/>
    <xf borderId="0" fillId="3" fontId="1" numFmtId="4" xfId="0" applyAlignment="1" applyFont="1" applyNumberFormat="1">
      <alignment shrinkToFit="0" vertical="bottom" wrapText="0"/>
    </xf>
    <xf borderId="1" fillId="7" fontId="1" numFmtId="3" xfId="0" applyAlignment="1" applyBorder="1" applyFill="1" applyFont="1" applyNumberFormat="1">
      <alignment shrinkToFit="0" vertical="bottom" wrapText="0"/>
    </xf>
    <xf borderId="1" fillId="3" fontId="1" numFmtId="3" xfId="0" applyAlignment="1" applyBorder="1" applyFont="1" applyNumberFormat="1">
      <alignment shrinkToFit="0" vertical="bottom" wrapText="0"/>
    </xf>
    <xf borderId="1" fillId="4" fontId="4" numFmtId="3" xfId="0" applyAlignment="1" applyBorder="1" applyFont="1" applyNumberFormat="1">
      <alignment horizontal="center" vertical="bottom"/>
    </xf>
    <xf borderId="1" fillId="2" fontId="2" numFmtId="2" xfId="0" applyAlignment="1" applyBorder="1" applyFont="1" applyNumberFormat="1">
      <alignment shrinkToFit="0" vertical="bottom" wrapText="0"/>
    </xf>
    <xf borderId="0" fillId="3" fontId="7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8" fontId="2" numFmtId="4" xfId="0" applyAlignment="1" applyFill="1" applyFont="1" applyNumberFormat="1">
      <alignment readingOrder="0" shrinkToFit="0" vertical="bottom" wrapText="0"/>
    </xf>
    <xf borderId="0" fillId="3" fontId="5" numFmtId="0" xfId="0" applyAlignment="1" applyFont="1">
      <alignment readingOrder="0"/>
    </xf>
    <xf borderId="2" fillId="9" fontId="1" numFmtId="0" xfId="0" applyAlignment="1" applyBorder="1" applyFill="1" applyFont="1">
      <alignment horizontal="center" shrinkToFit="0" vertical="center" wrapText="0"/>
    </xf>
    <xf borderId="1" fillId="9" fontId="1" numFmtId="3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4" fontId="4" numFmtId="3" xfId="0" applyAlignment="1" applyBorder="1" applyFont="1" applyNumberFormat="1">
      <alignment readingOrder="0" shrinkToFit="0" vertical="bottom" wrapText="0"/>
    </xf>
    <xf borderId="1" fillId="6" fontId="9" numFmtId="0" xfId="0" applyAlignment="1" applyBorder="1" applyFont="1">
      <alignment shrinkToFit="0" vertical="bottom" wrapText="0"/>
    </xf>
    <xf borderId="1" fillId="4" fontId="4" numFmtId="3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3" fontId="1" numFmtId="0" xfId="0" applyAlignment="1" applyBorder="1" applyFont="1">
      <alignment horizontal="center" shrinkToFit="0" vertical="bottom" wrapText="0"/>
    </xf>
    <xf borderId="0" fillId="0" fontId="5" numFmtId="0" xfId="0" applyFont="1"/>
    <xf borderId="1" fillId="6" fontId="2" numFmtId="0" xfId="0" applyAlignment="1" applyBorder="1" applyFont="1">
      <alignment readingOrder="0" shrinkToFit="0" vertical="bottom" wrapText="0"/>
    </xf>
    <xf borderId="0" fillId="0" fontId="9" numFmtId="10" xfId="0" applyAlignment="1" applyFont="1" applyNumberFormat="1">
      <alignment shrinkToFit="0" vertical="bottom" wrapText="0"/>
    </xf>
    <xf borderId="0" fillId="3" fontId="2" numFmtId="3" xfId="0" applyAlignment="1" applyFont="1" applyNumberFormat="1">
      <alignment shrinkToFit="0" vertical="bottom" wrapText="0"/>
    </xf>
    <xf borderId="1" fillId="6" fontId="2" numFmtId="3" xfId="0" applyAlignment="1" applyBorder="1" applyFont="1" applyNumberFormat="1">
      <alignment shrinkToFit="0" vertical="bottom" wrapText="0"/>
    </xf>
    <xf borderId="0" fillId="3" fontId="2" numFmtId="3" xfId="0" applyAlignment="1" applyFont="1" applyNumberFormat="1">
      <alignment readingOrder="0" shrinkToFit="0" vertical="bottom" wrapText="0"/>
    </xf>
    <xf borderId="0" fillId="3" fontId="6" numFmtId="0" xfId="0" applyAlignment="1" applyFont="1">
      <alignment shrinkToFit="0" vertical="bottom" wrapText="0"/>
    </xf>
    <xf borderId="1" fillId="6" fontId="10" numFmtId="3" xfId="0" applyAlignment="1" applyBorder="1" applyFont="1" applyNumberFormat="1">
      <alignment horizontal="right" vertical="bottom"/>
    </xf>
    <xf borderId="1" fillId="7" fontId="9" numFmtId="0" xfId="0" applyAlignment="1" applyBorder="1" applyFont="1">
      <alignment horizontal="right" shrinkToFit="0" vertical="bottom" wrapText="0"/>
    </xf>
    <xf borderId="1" fillId="7" fontId="9" numFmtId="3" xfId="0" applyAlignment="1" applyBorder="1" applyFont="1" applyNumberFormat="1">
      <alignment shrinkToFit="0" vertical="bottom" wrapText="0"/>
    </xf>
    <xf borderId="1" fillId="7" fontId="9" numFmtId="0" xfId="0" applyAlignment="1" applyBorder="1" applyFont="1">
      <alignment shrinkToFit="0" vertical="bottom" wrapText="0"/>
    </xf>
    <xf borderId="1" fillId="6" fontId="2" numFmtId="3" xfId="0" applyAlignment="1" applyBorder="1" applyFont="1" applyNumberFormat="1">
      <alignment readingOrder="0" shrinkToFit="0" vertical="bottom" wrapText="0"/>
    </xf>
    <xf borderId="1" fillId="6" fontId="2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9" numFmtId="3" xfId="0" applyAlignment="1" applyFont="1" applyNumberFormat="1">
      <alignment shrinkToFit="0" vertical="bottom" wrapText="0"/>
    </xf>
    <xf borderId="1" fillId="9" fontId="1" numFmtId="3" xfId="0" applyAlignment="1" applyBorder="1" applyFont="1" applyNumberFormat="1">
      <alignment readingOrder="0" shrinkToFit="0" vertical="bottom" wrapText="0"/>
    </xf>
    <xf borderId="1" fillId="10" fontId="9" numFmtId="0" xfId="0" applyAlignment="1" applyBorder="1" applyFill="1" applyFont="1">
      <alignment shrinkToFit="0" vertical="bottom" wrapText="0"/>
    </xf>
    <xf borderId="1" fillId="10" fontId="9" numFmtId="4" xfId="0" applyAlignment="1" applyBorder="1" applyFont="1" applyNumberFormat="1">
      <alignment shrinkToFit="0" vertical="bottom" wrapText="0"/>
    </xf>
    <xf borderId="0" fillId="11" fontId="7" numFmtId="0" xfId="0" applyAlignment="1" applyFill="1" applyFont="1">
      <alignment readingOrder="0"/>
    </xf>
    <xf borderId="0" fillId="11" fontId="7" numFmtId="0" xfId="0" applyFont="1"/>
    <xf borderId="0" fillId="11" fontId="5" numFmtId="0" xfId="0" applyFont="1"/>
    <xf borderId="0" fillId="12" fontId="5" numFmtId="0" xfId="0" applyFill="1" applyFont="1"/>
    <xf borderId="0" fillId="12" fontId="5" numFmtId="0" xfId="0" applyAlignment="1" applyFont="1">
      <alignment readingOrder="0"/>
    </xf>
    <xf borderId="0" fillId="12" fontId="2" numFmtId="3" xfId="0" applyAlignment="1" applyFont="1" applyNumberFormat="1">
      <alignment readingOrder="0" shrinkToFit="0" vertical="bottom" wrapText="0"/>
    </xf>
    <xf borderId="0" fillId="12" fontId="2" numFmtId="3" xfId="0" applyAlignment="1" applyFont="1" applyNumberFormat="1">
      <alignment shrinkToFit="0" vertical="bottom" wrapText="0"/>
    </xf>
    <xf borderId="0" fillId="12" fontId="5" numFmtId="0" xfId="0" applyAlignment="1" applyFont="1">
      <alignment horizontal="left" readingOrder="0"/>
    </xf>
    <xf borderId="0" fillId="0" fontId="11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0" fillId="0" fontId="12" numFmtId="0" xfId="0" applyAlignment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horizontal="right" shrinkToFit="0" vertical="bottom" wrapText="0"/>
    </xf>
    <xf borderId="1" fillId="13" fontId="13" numFmtId="3" xfId="0" applyAlignment="1" applyBorder="1" applyFill="1" applyFont="1" applyNumberFormat="1">
      <alignment horizontal="center" shrinkToFit="0" vertical="bottom" wrapText="0"/>
    </xf>
    <xf borderId="0" fillId="0" fontId="11" numFmtId="3" xfId="0" applyAlignment="1" applyFont="1" applyNumberFormat="1">
      <alignment shrinkToFit="0" vertical="bottom" wrapText="0"/>
    </xf>
    <xf borderId="1" fillId="14" fontId="13" numFmtId="3" xfId="0" applyAlignment="1" applyBorder="1" applyFill="1" applyFont="1" applyNumberFormat="1">
      <alignment horizontal="center" shrinkToFit="0" vertical="bottom" wrapText="0"/>
    </xf>
    <xf borderId="1" fillId="15" fontId="13" numFmtId="3" xfId="0" applyAlignment="1" applyBorder="1" applyFill="1" applyFont="1" applyNumberFormat="1">
      <alignment shrinkToFit="0" vertical="bottom" wrapText="0"/>
    </xf>
    <xf borderId="0" fillId="0" fontId="12" numFmtId="3" xfId="0" applyAlignment="1" applyFont="1" applyNumberFormat="1">
      <alignment shrinkToFit="0" vertical="bottom" wrapText="0"/>
    </xf>
    <xf borderId="0" fillId="0" fontId="14" numFmtId="0" xfId="0" applyAlignment="1" applyFont="1">
      <alignment shrinkToFit="0" vertical="bottom" wrapText="1"/>
    </xf>
    <xf borderId="1" fillId="15" fontId="13" numFmtId="0" xfId="0" applyAlignment="1" applyBorder="1" applyFont="1">
      <alignment horizontal="center" shrinkToFit="0" vertical="bottom" wrapText="0"/>
    </xf>
    <xf borderId="0" fillId="0" fontId="12" numFmtId="3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111116095460255"/>
          <c:y val="0.0423618506685599"/>
          <c:w val="0.868831867934685"/>
          <c:h val="0.86486806295113"/>
        </c:manualLayout>
      </c:layout>
      <c:bar3DChart>
        <c:barDir val="bar"/>
        <c:grouping val="stacked"/>
        <c:ser>
          <c:idx val="0"/>
          <c:order val="0"/>
          <c:spPr>
            <a:solidFill>
              <a:srgbClr val="38761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'Übersicht'!$A$3:$A$12</c:f>
            </c:strRef>
          </c:cat>
          <c:val>
            <c:numRef>
              <c:f>'Übersicht'!$B$3:$B$12</c:f>
              <c:numCache/>
            </c:numRef>
          </c:val>
        </c:ser>
        <c:ser>
          <c:idx val="1"/>
          <c:order val="1"/>
          <c:spPr>
            <a:solidFill>
              <a:srgbClr val="FF542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'Übersicht'!$A$3:$A$12</c:f>
            </c:strRef>
          </c:cat>
          <c:val>
            <c:numRef>
              <c:f>'Übersicht'!$C$3:$C$12</c:f>
              <c:numCache/>
            </c:numRef>
          </c:val>
        </c:ser>
        <c:ser>
          <c:idx val="2"/>
          <c:order val="2"/>
          <c:cat>
            <c:strRef>
              <c:f>'Übersicht'!$A$3:$A$12</c:f>
            </c:strRef>
          </c:cat>
          <c:val>
            <c:numRef>
              <c:f>'Übersicht'!$D$3:$D$12</c:f>
              <c:numCache/>
            </c:numRef>
          </c:val>
        </c:ser>
        <c:axId val="430084135"/>
        <c:axId val="1733952532"/>
      </c:bar3DChart>
      <c:catAx>
        <c:axId val="4300841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733952532"/>
      </c:catAx>
      <c:valAx>
        <c:axId val="17339525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430084135"/>
        <c:crosses val="max"/>
      </c:valAx>
    </c:plotArea>
    <c:plotVisOnly val="1"/>
  </c:chart>
  <c:spPr>
    <a:solidFill>
      <a:srgbClr val="EEEEEE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695325</xdr:colOff>
      <xdr:row>16</xdr:row>
      <xdr:rowOff>95250</xdr:rowOff>
    </xdr:from>
    <xdr:ext cx="5162550" cy="2162175"/>
    <xdr:grpSp>
      <xdr:nvGrpSpPr>
        <xdr:cNvPr id="2" name="Shape 2" title="Drawing"/>
        <xdr:cNvGrpSpPr/>
      </xdr:nvGrpSpPr>
      <xdr:grpSpPr>
        <a:xfrm>
          <a:off x="1566575" y="850775"/>
          <a:ext cx="5294850" cy="2189675"/>
          <a:chOff x="1566575" y="850775"/>
          <a:chExt cx="5294850" cy="2189675"/>
        </a:xfrm>
      </xdr:grpSpPr>
      <xdr:sp>
        <xdr:nvSpPr>
          <xdr:cNvPr id="3" name="Shape 3"/>
          <xdr:cNvSpPr txBox="1"/>
        </xdr:nvSpPr>
        <xdr:spPr>
          <a:xfrm>
            <a:off x="1566575" y="850775"/>
            <a:ext cx="2904000" cy="1104300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Copy existing year first</a:t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589125" y="2640250"/>
            <a:ext cx="42723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695325</xdr:colOff>
      <xdr:row>16</xdr:row>
      <xdr:rowOff>95250</xdr:rowOff>
    </xdr:from>
    <xdr:ext cx="5162550" cy="2162175"/>
    <xdr:grpSp>
      <xdr:nvGrpSpPr>
        <xdr:cNvPr id="2" name="Shape 2" title="Drawing"/>
        <xdr:cNvGrpSpPr/>
      </xdr:nvGrpSpPr>
      <xdr:grpSpPr>
        <a:xfrm>
          <a:off x="1566575" y="850775"/>
          <a:ext cx="5294850" cy="2189675"/>
          <a:chOff x="1566575" y="850775"/>
          <a:chExt cx="5294850" cy="2189675"/>
        </a:xfrm>
      </xdr:grpSpPr>
      <xdr:sp>
        <xdr:nvSpPr>
          <xdr:cNvPr id="3" name="Shape 3"/>
          <xdr:cNvSpPr txBox="1"/>
        </xdr:nvSpPr>
        <xdr:spPr>
          <a:xfrm>
            <a:off x="1566575" y="850775"/>
            <a:ext cx="2904000" cy="1104300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Copy existing year first</a:t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589125" y="2640250"/>
            <a:ext cx="42723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47625</xdr:rowOff>
    </xdr:from>
    <xdr:ext cx="7143750" cy="3105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k.stadt.sg.ch/infocenter/rechne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k.stadt.sg.ch/infocenter/rechner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k.stadt.sg.ch/infocenter/rechner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k.stadt.sg.ch/infocenter/rechner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4.0"/>
    <col customWidth="1" min="3" max="3" width="15.25"/>
    <col customWidth="1" min="4" max="4" width="1.75"/>
    <col customWidth="1" min="5" max="5" width="9.0"/>
    <col customWidth="1" min="6" max="12" width="12.5"/>
    <col customWidth="1" min="13" max="13" width="15.0"/>
    <col customWidth="1" min="14" max="14" width="19.5"/>
    <col customWidth="1" min="15" max="15" width="15.38"/>
    <col customWidth="1" min="16" max="18" width="14.38"/>
    <col customWidth="1" min="19" max="19" width="12.88"/>
    <col customWidth="1" min="20" max="20" width="21.63"/>
    <col customWidth="1" min="21" max="28" width="8.63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4" t="s">
        <v>3</v>
      </c>
      <c r="G1" s="5"/>
      <c r="H1" s="5"/>
      <c r="I1" s="5"/>
      <c r="J1" s="5"/>
      <c r="K1" s="5"/>
      <c r="L1" s="6"/>
      <c r="M1" s="2" t="s">
        <v>1</v>
      </c>
      <c r="N1" s="2" t="s">
        <v>2</v>
      </c>
      <c r="O1" s="7" t="s">
        <v>4</v>
      </c>
      <c r="P1" s="7"/>
      <c r="Q1" s="7"/>
      <c r="R1" s="10" t="s">
        <v>1</v>
      </c>
      <c r="S1" s="10" t="s">
        <v>2</v>
      </c>
    </row>
    <row r="2" ht="15.75" customHeight="1">
      <c r="B2" s="8" t="s">
        <v>5</v>
      </c>
      <c r="C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8" t="s">
        <v>13</v>
      </c>
      <c r="N2" s="8" t="s">
        <v>13</v>
      </c>
      <c r="O2" s="8"/>
      <c r="P2" s="8"/>
      <c r="Q2" s="8"/>
      <c r="R2" s="8" t="s">
        <v>14</v>
      </c>
      <c r="S2" s="8" t="s">
        <v>14</v>
      </c>
    </row>
    <row r="3" ht="15.75" customHeight="1">
      <c r="F3" s="11">
        <v>0.053</v>
      </c>
      <c r="G3" s="11">
        <v>0.011</v>
      </c>
      <c r="H3" s="11">
        <v>0.005</v>
      </c>
      <c r="I3" s="12">
        <v>0.00386</v>
      </c>
      <c r="J3" s="11">
        <v>0.0019</v>
      </c>
      <c r="K3" s="9"/>
      <c r="L3" s="9"/>
      <c r="M3" s="8"/>
    </row>
    <row r="4" ht="9.0" customHeight="1">
      <c r="A4" s="3"/>
      <c r="B4" s="13"/>
      <c r="C4" s="1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5.75" customHeight="1">
      <c r="A5" s="14" t="s">
        <v>15</v>
      </c>
      <c r="B5" s="15">
        <v>59608.8</v>
      </c>
      <c r="C5" s="17">
        <f>B5/12</f>
        <v>4967.4</v>
      </c>
      <c r="F5" s="13">
        <f t="shared" ref="F5:F7" si="1">C5*$F$3</f>
        <v>263.2722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7">
        <f t="shared" ref="M5:M9" si="2">N5*12</f>
        <v>56449.5336</v>
      </c>
      <c r="N5" s="17">
        <f t="shared" ref="N5:N7" si="3">C5-SUM(F5:L5)</f>
        <v>4704.1278</v>
      </c>
      <c r="O5" s="19" t="s">
        <v>16</v>
      </c>
      <c r="P5" s="21" t="s">
        <v>17</v>
      </c>
      <c r="Q5" s="21" t="s">
        <v>19</v>
      </c>
    </row>
    <row r="6" ht="15.75" customHeight="1">
      <c r="A6" s="14" t="s">
        <v>18</v>
      </c>
      <c r="B6" s="22">
        <v>30240.0</v>
      </c>
      <c r="C6" s="22">
        <f t="shared" ref="C6:C9" si="4">B6/12</f>
        <v>2520</v>
      </c>
      <c r="F6" s="13">
        <f t="shared" si="1"/>
        <v>133.56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7">
        <f t="shared" si="2"/>
        <v>28637.28</v>
      </c>
      <c r="N6" s="17">
        <f t="shared" si="3"/>
        <v>2386.44</v>
      </c>
      <c r="O6" s="25" t="s">
        <v>20</v>
      </c>
      <c r="P6" s="26">
        <v>85000.0</v>
      </c>
      <c r="Q6" s="26">
        <v>85000.0</v>
      </c>
    </row>
    <row r="7" ht="15.75" customHeight="1">
      <c r="A7" s="27" t="s">
        <v>22</v>
      </c>
      <c r="B7" s="17">
        <f>C6</f>
        <v>2520</v>
      </c>
      <c r="C7" s="17">
        <f t="shared" si="4"/>
        <v>210</v>
      </c>
      <c r="E7" s="14"/>
      <c r="F7" s="13">
        <f t="shared" si="1"/>
        <v>11.13</v>
      </c>
      <c r="G7" s="28"/>
      <c r="H7" s="28"/>
      <c r="I7" s="28"/>
      <c r="J7" s="28"/>
      <c r="K7" s="28"/>
      <c r="L7" s="28"/>
      <c r="M7" s="17">
        <f t="shared" si="2"/>
        <v>2386.44</v>
      </c>
      <c r="N7" s="17">
        <f t="shared" si="3"/>
        <v>198.87</v>
      </c>
      <c r="O7" s="25" t="s">
        <v>24</v>
      </c>
      <c r="P7" s="29">
        <v>0.0</v>
      </c>
      <c r="Q7" s="29"/>
      <c r="R7" s="30"/>
      <c r="S7" s="31"/>
    </row>
    <row r="8" ht="15.75" customHeight="1">
      <c r="A8" s="27" t="s">
        <v>25</v>
      </c>
      <c r="B8" s="22">
        <v>5520.0</v>
      </c>
      <c r="C8" s="17">
        <f t="shared" si="4"/>
        <v>460</v>
      </c>
      <c r="E8" s="14"/>
      <c r="F8" s="3"/>
      <c r="G8" s="28"/>
      <c r="H8" s="28"/>
      <c r="I8" s="28"/>
      <c r="J8" s="28"/>
      <c r="K8" s="28"/>
      <c r="L8" s="28"/>
      <c r="M8" s="17">
        <f t="shared" si="2"/>
        <v>5520</v>
      </c>
      <c r="N8" s="17">
        <f t="shared" ref="N8:N9" si="5">C8</f>
        <v>460</v>
      </c>
      <c r="O8" s="32"/>
      <c r="P8" s="29"/>
      <c r="R8" s="30"/>
      <c r="S8" s="31"/>
    </row>
    <row r="9" ht="15.75" customHeight="1">
      <c r="A9" s="27" t="s">
        <v>27</v>
      </c>
      <c r="B9" s="22">
        <v>11376.0</v>
      </c>
      <c r="C9" s="22">
        <f t="shared" si="4"/>
        <v>948</v>
      </c>
      <c r="E9" s="14"/>
      <c r="F9" s="3"/>
      <c r="G9" s="28"/>
      <c r="H9" s="28"/>
      <c r="I9" s="28"/>
      <c r="J9" s="28"/>
      <c r="K9" s="28"/>
      <c r="L9" s="28"/>
      <c r="M9" s="17">
        <f t="shared" si="2"/>
        <v>11376</v>
      </c>
      <c r="N9" s="17">
        <f t="shared" si="5"/>
        <v>948</v>
      </c>
      <c r="O9" s="33"/>
      <c r="P9" s="30"/>
      <c r="Q9" s="30"/>
      <c r="R9" s="30"/>
      <c r="S9" s="31"/>
    </row>
    <row r="10" ht="15.75" customHeight="1">
      <c r="A10" s="30" t="s">
        <v>26</v>
      </c>
      <c r="B10" s="31">
        <f t="shared" ref="B10:C10" si="6">SUM(B5:B9)</f>
        <v>109264.8</v>
      </c>
      <c r="C10" s="31">
        <f t="shared" si="6"/>
        <v>9105.4</v>
      </c>
      <c r="F10" s="3"/>
      <c r="G10" s="28"/>
      <c r="H10" s="28"/>
      <c r="I10" s="28"/>
      <c r="J10" s="28"/>
      <c r="K10" s="28"/>
      <c r="L10" s="28"/>
      <c r="M10" s="31">
        <f>SUM(M5:M9)</f>
        <v>104369.2536</v>
      </c>
      <c r="N10" s="17">
        <f>SUM(N3:N9)</f>
        <v>8697.4378</v>
      </c>
      <c r="O10" s="19" t="s">
        <v>28</v>
      </c>
      <c r="P10" s="35">
        <v>10000.0</v>
      </c>
      <c r="Q10" s="35">
        <v>1000.0</v>
      </c>
      <c r="R10" s="36">
        <f>M10-P10-Q10</f>
        <v>93369.2536</v>
      </c>
      <c r="S10" s="36">
        <f>R10/12</f>
        <v>7780.771133</v>
      </c>
    </row>
    <row r="11" ht="9.0" customHeight="1">
      <c r="A11" s="3"/>
      <c r="B11" s="3"/>
      <c r="C11" s="3"/>
      <c r="D11" s="3"/>
      <c r="E11" s="3"/>
      <c r="F11" s="3"/>
      <c r="G11" s="13"/>
      <c r="H11" s="3"/>
      <c r="I11" s="1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5.75" customHeight="1">
      <c r="F12" s="13">
        <f>C13</f>
        <v>14250</v>
      </c>
      <c r="G12" s="13">
        <v>12350.0</v>
      </c>
      <c r="H12" s="13">
        <f>'Rente 2025'!mtHeute-G12</f>
        <v>1900</v>
      </c>
      <c r="I12" s="13">
        <f>'Rente 2025'!mtKoord</f>
        <v>12350</v>
      </c>
      <c r="J12" s="13">
        <f>'Rente 2025'!mtHeute</f>
        <v>14250</v>
      </c>
      <c r="K12" s="3"/>
      <c r="L12" s="3"/>
      <c r="O12" s="19" t="s">
        <v>16</v>
      </c>
      <c r="P12" s="38" t="s">
        <v>17</v>
      </c>
      <c r="Q12" s="38" t="s">
        <v>19</v>
      </c>
    </row>
    <row r="13" ht="15.75" customHeight="1">
      <c r="A13" s="14" t="s">
        <v>29</v>
      </c>
      <c r="B13" s="22">
        <v>171000.0</v>
      </c>
      <c r="C13" s="17">
        <f>B13/12</f>
        <v>14250</v>
      </c>
      <c r="F13" s="3">
        <f>'Rente 2025'!mtHeute*F3</f>
        <v>755.25</v>
      </c>
      <c r="G13" s="3">
        <f t="shared" ref="G13:J13" si="7">G12*G3</f>
        <v>135.85</v>
      </c>
      <c r="H13" s="37">
        <f t="shared" si="7"/>
        <v>9.5</v>
      </c>
      <c r="I13" s="37">
        <f t="shared" si="7"/>
        <v>47.671</v>
      </c>
      <c r="J13" s="37">
        <f t="shared" si="7"/>
        <v>27.075</v>
      </c>
      <c r="K13" s="13">
        <v>1922.4</v>
      </c>
      <c r="L13" s="13">
        <v>155.95</v>
      </c>
      <c r="M13" s="17">
        <f>N13*12</f>
        <v>134355.648</v>
      </c>
      <c r="N13" s="17">
        <f>C13-SUM(F13:L13)</f>
        <v>11196.304</v>
      </c>
      <c r="O13" s="25" t="s">
        <v>20</v>
      </c>
      <c r="P13" s="29">
        <v>130500.0</v>
      </c>
      <c r="Q13" s="26">
        <v>128000.0</v>
      </c>
    </row>
    <row r="14" ht="15.75" customHeight="1">
      <c r="B14" s="17"/>
      <c r="E14" s="14"/>
      <c r="F14" s="13">
        <f>'Rente 2025'!bonus</f>
        <v>26000</v>
      </c>
      <c r="G14" s="13">
        <f>G12</f>
        <v>12350</v>
      </c>
      <c r="H14" s="13">
        <f>'Rente 2025'!bonus-G14</f>
        <v>13650</v>
      </c>
      <c r="I14" s="13">
        <f>I12</f>
        <v>12350</v>
      </c>
      <c r="J14" s="13">
        <f>'Rente 2025'!bonus</f>
        <v>26000</v>
      </c>
      <c r="K14" s="3"/>
      <c r="L14" s="3"/>
      <c r="O14" s="25" t="s">
        <v>24</v>
      </c>
      <c r="P14" s="29">
        <v>0.0</v>
      </c>
      <c r="Q14" s="29"/>
    </row>
    <row r="15" ht="15.75" customHeight="1">
      <c r="B15" s="40">
        <v>26000.0</v>
      </c>
      <c r="E15" s="39" t="s">
        <v>31</v>
      </c>
      <c r="F15" s="13">
        <f t="shared" ref="F15:J15" si="8">F14*F3</f>
        <v>1378</v>
      </c>
      <c r="G15" s="13">
        <f t="shared" si="8"/>
        <v>135.85</v>
      </c>
      <c r="H15" s="13">
        <f t="shared" si="8"/>
        <v>68.25</v>
      </c>
      <c r="I15" s="13">
        <f t="shared" si="8"/>
        <v>47.671</v>
      </c>
      <c r="J15" s="13">
        <f t="shared" si="8"/>
        <v>49.4</v>
      </c>
      <c r="K15" s="13">
        <f t="shared" ref="K15:L15" si="9">K13</f>
        <v>1922.4</v>
      </c>
      <c r="L15" s="13">
        <f t="shared" si="9"/>
        <v>155.95</v>
      </c>
      <c r="M15" s="17">
        <f>B15-SUM(F15:L15)</f>
        <v>22242.479</v>
      </c>
      <c r="O15" s="41" t="s">
        <v>33</v>
      </c>
      <c r="P15" s="29">
        <v>2623.96</v>
      </c>
    </row>
    <row r="16" ht="8.25" customHeight="1">
      <c r="F16" s="3"/>
      <c r="G16" s="3"/>
      <c r="H16" s="3"/>
      <c r="I16" s="3"/>
      <c r="J16" s="3"/>
      <c r="K16" s="3"/>
      <c r="L16" s="3"/>
      <c r="M16" s="14"/>
      <c r="N16" s="14"/>
      <c r="O16" s="41"/>
      <c r="P16" s="29"/>
      <c r="Q16" s="29"/>
    </row>
    <row r="17" ht="15.75" customHeight="1">
      <c r="B17" s="17">
        <f t="shared" ref="B17:B18" si="10">C17*12</f>
        <v>5520</v>
      </c>
      <c r="C17" s="17">
        <v>460.0</v>
      </c>
      <c r="E17" s="14" t="s">
        <v>23</v>
      </c>
      <c r="F17" s="3"/>
      <c r="G17" s="28"/>
      <c r="H17" s="28"/>
      <c r="I17" s="28"/>
      <c r="J17" s="28"/>
      <c r="K17" s="28"/>
      <c r="L17" s="28"/>
      <c r="M17" s="17">
        <f t="shared" ref="M17:M18" si="11">N17*12</f>
        <v>5520</v>
      </c>
      <c r="N17" s="17">
        <f t="shared" ref="N17:N18" si="12">C17</f>
        <v>460</v>
      </c>
      <c r="O17" s="32"/>
      <c r="R17" s="30"/>
      <c r="S17" s="31"/>
    </row>
    <row r="18" ht="15.75" customHeight="1">
      <c r="B18" s="17">
        <f t="shared" si="10"/>
        <v>4800</v>
      </c>
      <c r="C18" s="17">
        <v>400.0</v>
      </c>
      <c r="E18" s="14" t="s">
        <v>32</v>
      </c>
      <c r="F18" s="3"/>
      <c r="G18" s="28"/>
      <c r="H18" s="28"/>
      <c r="I18" s="28"/>
      <c r="J18" s="28"/>
      <c r="K18" s="28"/>
      <c r="L18" s="28"/>
      <c r="M18" s="17">
        <f t="shared" si="11"/>
        <v>4800</v>
      </c>
      <c r="N18" s="17">
        <f t="shared" si="12"/>
        <v>400</v>
      </c>
      <c r="O18" s="41" t="s">
        <v>34</v>
      </c>
      <c r="P18" s="29">
        <v>18893.0</v>
      </c>
      <c r="Q18" s="29">
        <v>3665.0</v>
      </c>
      <c r="R18" s="30"/>
      <c r="S18" s="31"/>
    </row>
    <row r="19" ht="15.75" customHeight="1">
      <c r="B19" s="30"/>
      <c r="C19" s="17">
        <f>SUM(C13:C18)</f>
        <v>15110</v>
      </c>
      <c r="F19" s="3"/>
      <c r="G19" s="28"/>
      <c r="H19" s="28"/>
      <c r="I19" s="28"/>
      <c r="J19" s="28"/>
      <c r="K19" s="28"/>
      <c r="L19" s="28"/>
      <c r="M19" s="30"/>
      <c r="N19" s="17">
        <f>SUM(N13:N18)</f>
        <v>12056.304</v>
      </c>
      <c r="O19" s="25" t="s">
        <v>36</v>
      </c>
      <c r="P19" s="29"/>
      <c r="Q19" s="29">
        <v>-500.0</v>
      </c>
      <c r="R19" s="30"/>
      <c r="S19" s="31"/>
    </row>
    <row r="20" ht="15.75" customHeight="1">
      <c r="A20" s="30" t="s">
        <v>26</v>
      </c>
      <c r="B20" s="31">
        <f>SUM(B13:B18)</f>
        <v>207320</v>
      </c>
      <c r="F20" s="3"/>
      <c r="G20" s="28"/>
      <c r="H20" s="28"/>
      <c r="I20" s="28"/>
      <c r="J20" s="28"/>
      <c r="K20" s="28"/>
      <c r="L20" s="28"/>
      <c r="M20" s="31">
        <f>SUM(M13:M18)</f>
        <v>166918.127</v>
      </c>
      <c r="N20" s="31"/>
      <c r="O20" s="19"/>
      <c r="P20" s="35">
        <v>18892.5</v>
      </c>
      <c r="Q20" s="35">
        <v>3155.0</v>
      </c>
      <c r="R20" s="36">
        <f>M20-P20-Q20</f>
        <v>144870.627</v>
      </c>
      <c r="S20" s="36">
        <f>R20/12</f>
        <v>12072.55225</v>
      </c>
    </row>
    <row r="21" ht="18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46" t="s">
        <v>41</v>
      </c>
      <c r="N21" s="48"/>
      <c r="O21" s="19"/>
      <c r="P21" s="50"/>
      <c r="Q21" s="35">
        <f>P20+Q20</f>
        <v>22047.5</v>
      </c>
      <c r="R21" s="36">
        <f t="shared" ref="R21:S21" si="13">R20-R10</f>
        <v>51501.3734</v>
      </c>
      <c r="S21" s="36">
        <f t="shared" si="13"/>
        <v>4291.781117</v>
      </c>
    </row>
    <row r="22" ht="15.75" customHeight="1"/>
    <row r="23" ht="15.75" customHeight="1">
      <c r="A23" s="52" t="s">
        <v>53</v>
      </c>
      <c r="B23" s="47"/>
      <c r="C23" s="47"/>
      <c r="D23" s="47"/>
      <c r="O23" s="7" t="s">
        <v>49</v>
      </c>
      <c r="P23" s="32" t="s">
        <v>42</v>
      </c>
      <c r="Q23" s="54">
        <v>18893.0</v>
      </c>
    </row>
    <row r="24" ht="15.75" customHeight="1">
      <c r="A24" s="44" t="s">
        <v>38</v>
      </c>
      <c r="O24" s="32"/>
      <c r="P24" s="32" t="s">
        <v>19</v>
      </c>
      <c r="Q24" s="56">
        <v>3155.0</v>
      </c>
    </row>
    <row r="25" ht="15.75" customHeight="1">
      <c r="O25" s="32"/>
      <c r="P25" s="57" t="s">
        <v>26</v>
      </c>
      <c r="Q25" s="33">
        <f>SUM(Q23:Q24)</f>
        <v>22048</v>
      </c>
    </row>
    <row r="26" ht="15.75" customHeight="1">
      <c r="B26" s="51">
        <f>37200/1015</f>
        <v>36.65024631</v>
      </c>
    </row>
    <row r="27" ht="15.75" customHeight="1">
      <c r="B27" s="27">
        <v>13.0</v>
      </c>
      <c r="N27" s="49"/>
      <c r="O27" s="31"/>
    </row>
    <row r="28" ht="15.75" customHeight="1">
      <c r="J28" s="51" t="s">
        <v>50</v>
      </c>
      <c r="M28" s="42" t="s">
        <v>35</v>
      </c>
      <c r="N28" s="6"/>
    </row>
    <row r="29" ht="15.75" customHeight="1">
      <c r="A29" s="51" t="s">
        <v>43</v>
      </c>
      <c r="E29" s="51" t="s">
        <v>44</v>
      </c>
      <c r="G29" s="51" t="s">
        <v>45</v>
      </c>
      <c r="H29" s="62">
        <v>1050761.0</v>
      </c>
      <c r="M29" s="2" t="s">
        <v>1</v>
      </c>
      <c r="N29" s="2" t="s">
        <v>2</v>
      </c>
    </row>
    <row r="30" ht="15.75" customHeight="1">
      <c r="G30" s="51" t="s">
        <v>47</v>
      </c>
      <c r="H30" s="62">
        <v>1148837.0</v>
      </c>
      <c r="J30" s="53">
        <v>0.052</v>
      </c>
      <c r="K30" s="18">
        <f t="shared" ref="K30:K31" si="14">H30*J30</f>
        <v>59739.524</v>
      </c>
      <c r="M30" s="43">
        <f>R21</f>
        <v>51501.3734</v>
      </c>
      <c r="N30" s="43">
        <f>M30/12</f>
        <v>4291.781117</v>
      </c>
      <c r="O30" s="59" t="s">
        <v>54</v>
      </c>
      <c r="P30" s="60">
        <f>$R$20-M30</f>
        <v>93369.2536</v>
      </c>
      <c r="Q30" s="60">
        <f>P30/12</f>
        <v>7780.771133</v>
      </c>
      <c r="R30" s="61" t="s">
        <v>55</v>
      </c>
      <c r="S30" s="61"/>
    </row>
    <row r="31" ht="15.75" customHeight="1">
      <c r="B31" s="51" t="s">
        <v>56</v>
      </c>
      <c r="E31" s="29">
        <v>30000.0</v>
      </c>
      <c r="F31" s="63">
        <v>5.0</v>
      </c>
      <c r="G31" s="51" t="s">
        <v>52</v>
      </c>
      <c r="H31" s="29">
        <f>30000*F31</f>
        <v>150000</v>
      </c>
      <c r="J31" s="53">
        <v>0.052</v>
      </c>
      <c r="K31" s="18">
        <f t="shared" si="14"/>
        <v>7800</v>
      </c>
      <c r="O31" s="64"/>
      <c r="S31" s="65"/>
    </row>
    <row r="32" ht="15.75" customHeight="1">
      <c r="H32" s="29">
        <f>SUM(H30:H31)</f>
        <v>1298837</v>
      </c>
      <c r="K32" s="18">
        <f>SUM(K30:K31)</f>
        <v>67539.524</v>
      </c>
      <c r="M32" s="66">
        <v>38975.0</v>
      </c>
      <c r="N32" s="43">
        <f>M32/12</f>
        <v>3247.916667</v>
      </c>
      <c r="O32" s="59" t="s">
        <v>54</v>
      </c>
      <c r="P32" s="60">
        <f>$R$20-M32</f>
        <v>105895.627</v>
      </c>
      <c r="Q32" s="60">
        <f>P32/12</f>
        <v>8824.635583</v>
      </c>
      <c r="R32" s="61" t="s">
        <v>57</v>
      </c>
      <c r="S32" s="61"/>
    </row>
    <row r="33" ht="15.75" customHeight="1"/>
    <row r="34" ht="15.75" customHeight="1">
      <c r="N34" s="67" t="s">
        <v>58</v>
      </c>
      <c r="O34" s="67"/>
      <c r="P34" s="67"/>
      <c r="Q34" s="67"/>
      <c r="R34" s="67"/>
    </row>
    <row r="35" ht="15.75" customHeight="1">
      <c r="N35" s="67" t="s">
        <v>59</v>
      </c>
      <c r="O35" s="67"/>
      <c r="P35" s="68"/>
      <c r="Q35" s="68"/>
      <c r="R35" s="68">
        <f>K32</f>
        <v>67539.524</v>
      </c>
    </row>
    <row r="36" ht="15.75" customHeight="1">
      <c r="A36" s="69" t="s">
        <v>62</v>
      </c>
      <c r="B36" s="70"/>
      <c r="C36" s="70"/>
      <c r="D36" s="70"/>
      <c r="E36" s="69" t="s">
        <v>64</v>
      </c>
      <c r="F36" s="70"/>
      <c r="G36" s="69" t="s">
        <v>65</v>
      </c>
      <c r="H36" s="69" t="s">
        <v>66</v>
      </c>
      <c r="I36" s="69" t="s">
        <v>67</v>
      </c>
      <c r="J36" s="69" t="s">
        <v>68</v>
      </c>
      <c r="K36" s="69" t="s">
        <v>69</v>
      </c>
      <c r="L36" s="71"/>
      <c r="N36" s="67" t="s">
        <v>60</v>
      </c>
      <c r="O36" s="67"/>
      <c r="P36" s="67"/>
      <c r="Q36" s="67"/>
      <c r="R36" s="67"/>
    </row>
    <row r="37" ht="15.75" customHeight="1">
      <c r="A37" s="72"/>
      <c r="B37" s="73" t="s">
        <v>70</v>
      </c>
      <c r="C37" s="73" t="s">
        <v>71</v>
      </c>
      <c r="D37" s="72"/>
      <c r="E37" s="73" t="s">
        <v>72</v>
      </c>
      <c r="F37" s="72"/>
      <c r="G37" s="73" t="s">
        <v>73</v>
      </c>
      <c r="H37" s="74"/>
      <c r="I37" s="74">
        <v>27785.0</v>
      </c>
      <c r="J37" s="73"/>
      <c r="K37" s="75"/>
      <c r="L37" s="72"/>
      <c r="N37" s="67" t="s">
        <v>61</v>
      </c>
      <c r="O37" s="67"/>
      <c r="P37" s="67"/>
      <c r="Q37" s="67"/>
      <c r="R37" s="67"/>
    </row>
    <row r="38" ht="15.75" customHeight="1">
      <c r="A38" s="72"/>
      <c r="B38" s="73" t="s">
        <v>70</v>
      </c>
      <c r="C38" s="73" t="s">
        <v>74</v>
      </c>
      <c r="D38" s="72"/>
      <c r="E38" s="73" t="s">
        <v>75</v>
      </c>
      <c r="F38" s="72"/>
      <c r="G38" s="73" t="s">
        <v>76</v>
      </c>
      <c r="H38" s="74"/>
      <c r="I38" s="74">
        <v>37468.91</v>
      </c>
      <c r="J38" s="72"/>
      <c r="K38" s="72"/>
      <c r="L38" s="72"/>
      <c r="N38" s="67" t="s">
        <v>63</v>
      </c>
      <c r="O38" s="67"/>
      <c r="P38" s="68"/>
      <c r="Q38" s="68"/>
      <c r="R38" s="68">
        <f>K30</f>
        <v>59739.524</v>
      </c>
    </row>
    <row r="39" ht="15.75" customHeight="1">
      <c r="A39" s="72"/>
      <c r="B39" s="73" t="s">
        <v>77</v>
      </c>
      <c r="C39" s="72"/>
      <c r="D39" s="72"/>
      <c r="E39" s="76" t="s">
        <v>78</v>
      </c>
      <c r="F39" s="72"/>
      <c r="G39" s="73" t="s">
        <v>79</v>
      </c>
      <c r="H39" s="75">
        <v>17832.05</v>
      </c>
      <c r="I39" s="72"/>
      <c r="J39" s="73" t="s">
        <v>80</v>
      </c>
      <c r="K39" s="75">
        <v>126531.0</v>
      </c>
      <c r="L39" s="72"/>
      <c r="N39" s="67" t="s">
        <v>60</v>
      </c>
      <c r="O39" s="67"/>
      <c r="P39" s="67"/>
      <c r="Q39" s="67"/>
      <c r="R39" s="67"/>
    </row>
    <row r="40" ht="15.75" customHeight="1">
      <c r="A40" s="72"/>
      <c r="B40" s="72"/>
      <c r="C40" s="72"/>
      <c r="D40" s="72"/>
      <c r="E40" s="76"/>
      <c r="F40" s="72"/>
      <c r="G40" s="73" t="s">
        <v>81</v>
      </c>
      <c r="H40" s="74">
        <v>18010.8</v>
      </c>
      <c r="I40" s="72"/>
      <c r="J40" s="72"/>
      <c r="K40" s="72"/>
      <c r="L40" s="72"/>
    </row>
    <row r="41" ht="15.75" customHeight="1">
      <c r="A41" s="72"/>
      <c r="B41" s="72"/>
      <c r="C41" s="72"/>
      <c r="D41" s="72"/>
      <c r="E41" s="76"/>
      <c r="F41" s="72"/>
      <c r="G41" s="73" t="s">
        <v>82</v>
      </c>
      <c r="H41" s="74">
        <v>18280.0</v>
      </c>
      <c r="I41" s="72"/>
      <c r="J41" s="72"/>
      <c r="K41" s="72"/>
      <c r="L41" s="7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F1:L1"/>
    <mergeCell ref="M28:N28"/>
  </mergeCells>
  <hyperlinks>
    <hyperlink r:id="rId1" ref="A24"/>
  </hyperlinks>
  <printOptions/>
  <pageMargins bottom="0.7875" footer="0.0" header="0.0" left="0.7875" right="0.7875" top="0.7875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4.0"/>
    <col customWidth="1" min="3" max="3" width="15.25"/>
    <col customWidth="1" min="4" max="4" width="1.75"/>
    <col customWidth="1" min="5" max="5" width="9.0"/>
    <col customWidth="1" min="6" max="12" width="12.5"/>
    <col customWidth="1" min="13" max="13" width="15.0"/>
    <col customWidth="1" min="14" max="14" width="19.5"/>
    <col customWidth="1" min="15" max="15" width="15.38"/>
    <col customWidth="1" min="16" max="18" width="14.38"/>
    <col customWidth="1" min="19" max="19" width="12.88"/>
    <col customWidth="1" min="20" max="20" width="21.63"/>
    <col customWidth="1" min="21" max="28" width="8.63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4" t="s">
        <v>3</v>
      </c>
      <c r="G1" s="5"/>
      <c r="H1" s="5"/>
      <c r="I1" s="5"/>
      <c r="J1" s="5"/>
      <c r="K1" s="5"/>
      <c r="L1" s="6"/>
      <c r="M1" s="2" t="s">
        <v>1</v>
      </c>
      <c r="N1" s="2" t="s">
        <v>2</v>
      </c>
      <c r="O1" s="7" t="s">
        <v>4</v>
      </c>
      <c r="P1" s="7"/>
      <c r="Q1" s="7"/>
      <c r="R1" s="10" t="s">
        <v>1</v>
      </c>
      <c r="S1" s="10" t="s">
        <v>2</v>
      </c>
    </row>
    <row r="2" ht="15.75" customHeight="1">
      <c r="B2" s="8" t="s">
        <v>5</v>
      </c>
      <c r="C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8" t="s">
        <v>13</v>
      </c>
      <c r="N2" s="8" t="s">
        <v>13</v>
      </c>
      <c r="O2" s="8"/>
      <c r="P2" s="8"/>
      <c r="Q2" s="8"/>
      <c r="R2" s="8" t="s">
        <v>14</v>
      </c>
      <c r="S2" s="8" t="s">
        <v>14</v>
      </c>
    </row>
    <row r="3" ht="15.75" customHeight="1">
      <c r="F3" s="11">
        <v>0.053</v>
      </c>
      <c r="G3" s="11">
        <v>0.011</v>
      </c>
      <c r="H3" s="11">
        <v>0.005</v>
      </c>
      <c r="I3" s="12">
        <v>0.00386</v>
      </c>
      <c r="J3" s="11">
        <v>0.0019</v>
      </c>
      <c r="K3" s="9"/>
      <c r="L3" s="9"/>
      <c r="M3" s="8"/>
    </row>
    <row r="4" ht="9.0" customHeight="1">
      <c r="A4" s="3"/>
      <c r="B4" s="13"/>
      <c r="C4" s="1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5.75" customHeight="1">
      <c r="A5" s="14" t="s">
        <v>15</v>
      </c>
      <c r="B5" s="18">
        <v>59439.795999999995</v>
      </c>
      <c r="C5" s="17">
        <f>B5/12</f>
        <v>4953.316333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7">
        <f t="shared" ref="M5:M9" si="1">N5*12</f>
        <v>59439.796</v>
      </c>
      <c r="N5" s="17">
        <f t="shared" ref="N5:N7" si="2">C5-SUM(F5:L5)</f>
        <v>4953.316333</v>
      </c>
      <c r="O5" s="19" t="s">
        <v>16</v>
      </c>
      <c r="P5" s="21" t="s">
        <v>17</v>
      </c>
      <c r="Q5" s="21" t="s">
        <v>19</v>
      </c>
    </row>
    <row r="6" ht="15.75" customHeight="1">
      <c r="A6" s="14" t="s">
        <v>18</v>
      </c>
      <c r="B6" s="22">
        <v>30240.0</v>
      </c>
      <c r="C6" s="23">
        <f t="shared" ref="C6:C9" si="3">B6/12</f>
        <v>2520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7">
        <f t="shared" si="1"/>
        <v>30240</v>
      </c>
      <c r="N6" s="17">
        <f t="shared" si="2"/>
        <v>2520</v>
      </c>
      <c r="O6" s="25" t="s">
        <v>20</v>
      </c>
      <c r="P6" s="26">
        <v>85000.0</v>
      </c>
      <c r="Q6" s="26">
        <v>85000.0</v>
      </c>
    </row>
    <row r="7" ht="15.75" customHeight="1">
      <c r="A7" s="27"/>
      <c r="B7" s="17">
        <f>C6</f>
        <v>2520</v>
      </c>
      <c r="C7" s="17">
        <f t="shared" si="3"/>
        <v>210</v>
      </c>
      <c r="E7" s="14"/>
      <c r="F7" s="3"/>
      <c r="G7" s="28"/>
      <c r="H7" s="28"/>
      <c r="I7" s="28"/>
      <c r="J7" s="28"/>
      <c r="K7" s="28"/>
      <c r="L7" s="28"/>
      <c r="M7" s="17">
        <f t="shared" si="1"/>
        <v>2520</v>
      </c>
      <c r="N7" s="17">
        <f t="shared" si="2"/>
        <v>210</v>
      </c>
      <c r="O7" s="25" t="s">
        <v>24</v>
      </c>
      <c r="P7" s="29">
        <v>0.0</v>
      </c>
      <c r="Q7" s="29"/>
      <c r="R7" s="30"/>
      <c r="S7" s="31"/>
    </row>
    <row r="8" ht="15.75" customHeight="1">
      <c r="A8" s="27" t="s">
        <v>25</v>
      </c>
      <c r="B8" s="22">
        <v>5520.0</v>
      </c>
      <c r="C8" s="17">
        <f t="shared" si="3"/>
        <v>460</v>
      </c>
      <c r="E8" s="14"/>
      <c r="F8" s="3"/>
      <c r="G8" s="28"/>
      <c r="H8" s="28"/>
      <c r="I8" s="28"/>
      <c r="J8" s="28"/>
      <c r="K8" s="28"/>
      <c r="L8" s="28"/>
      <c r="M8" s="17">
        <f t="shared" si="1"/>
        <v>5520</v>
      </c>
      <c r="N8" s="17">
        <f t="shared" ref="N8:N9" si="4">C8</f>
        <v>460</v>
      </c>
      <c r="O8" s="32"/>
      <c r="P8" s="29"/>
      <c r="R8" s="30"/>
      <c r="S8" s="31"/>
    </row>
    <row r="9" ht="15.75" customHeight="1">
      <c r="A9" s="27" t="s">
        <v>27</v>
      </c>
      <c r="B9" s="22">
        <v>11376.0</v>
      </c>
      <c r="C9" s="22">
        <f t="shared" si="3"/>
        <v>948</v>
      </c>
      <c r="E9" s="14"/>
      <c r="F9" s="3"/>
      <c r="G9" s="28"/>
      <c r="H9" s="28"/>
      <c r="I9" s="28"/>
      <c r="J9" s="28"/>
      <c r="K9" s="28"/>
      <c r="L9" s="28"/>
      <c r="M9" s="17">
        <f t="shared" si="1"/>
        <v>11376</v>
      </c>
      <c r="N9" s="17">
        <f t="shared" si="4"/>
        <v>948</v>
      </c>
      <c r="O9" s="33"/>
      <c r="P9" s="30"/>
      <c r="Q9" s="30"/>
      <c r="R9" s="30"/>
      <c r="S9" s="31"/>
    </row>
    <row r="10" ht="15.75" customHeight="1">
      <c r="A10" s="30" t="s">
        <v>26</v>
      </c>
      <c r="B10" s="31">
        <f t="shared" ref="B10:C10" si="5">SUM(B5:B9)</f>
        <v>109095.796</v>
      </c>
      <c r="C10" s="31">
        <f t="shared" si="5"/>
        <v>9091.316333</v>
      </c>
      <c r="F10" s="3"/>
      <c r="G10" s="28"/>
      <c r="H10" s="28"/>
      <c r="I10" s="28"/>
      <c r="J10" s="28"/>
      <c r="K10" s="28"/>
      <c r="L10" s="28"/>
      <c r="M10" s="31">
        <f>SUM(M5:M9)</f>
        <v>109095.796</v>
      </c>
      <c r="N10" s="17">
        <f>SUM(N3:N9)</f>
        <v>9091.316333</v>
      </c>
      <c r="O10" s="19" t="s">
        <v>28</v>
      </c>
      <c r="P10" s="35">
        <v>10000.0</v>
      </c>
      <c r="Q10" s="35">
        <v>1000.0</v>
      </c>
      <c r="R10" s="36">
        <f>M10-P10-Q10</f>
        <v>98095.796</v>
      </c>
      <c r="S10" s="36">
        <f>R10/12</f>
        <v>8174.649667</v>
      </c>
    </row>
    <row r="11" ht="9.0" customHeight="1">
      <c r="A11" s="3"/>
      <c r="B11" s="3"/>
      <c r="C11" s="3"/>
      <c r="D11" s="3"/>
      <c r="E11" s="3"/>
      <c r="F11" s="3"/>
      <c r="G11" s="13"/>
      <c r="H11" s="3"/>
      <c r="I11" s="1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5.75" customHeight="1">
      <c r="F12" s="13">
        <f>C13</f>
        <v>14250</v>
      </c>
      <c r="G12" s="13">
        <v>12350.0</v>
      </c>
      <c r="H12" s="13">
        <f>'Rente 2024'!mtHeute-G12</f>
        <v>1900</v>
      </c>
      <c r="I12" s="13">
        <f>'Rente 2024'!mtKoord</f>
        <v>12350</v>
      </c>
      <c r="J12" s="13">
        <f>'Rente 2024'!mtHeute</f>
        <v>14250</v>
      </c>
      <c r="K12" s="3"/>
      <c r="L12" s="3"/>
      <c r="O12" s="19" t="s">
        <v>16</v>
      </c>
      <c r="P12" s="38" t="s">
        <v>17</v>
      </c>
      <c r="Q12" s="38" t="s">
        <v>19</v>
      </c>
    </row>
    <row r="13" ht="15.75" customHeight="1">
      <c r="A13" s="14" t="s">
        <v>29</v>
      </c>
      <c r="B13" s="22">
        <v>171000.0</v>
      </c>
      <c r="C13" s="17">
        <f>B13/12</f>
        <v>14250</v>
      </c>
      <c r="F13" s="3">
        <f>'Rente 2024'!mtHeute*F3</f>
        <v>755.25</v>
      </c>
      <c r="G13" s="3">
        <f t="shared" ref="G13:J13" si="6">G12*G3</f>
        <v>135.85</v>
      </c>
      <c r="H13" s="37">
        <f t="shared" si="6"/>
        <v>9.5</v>
      </c>
      <c r="I13" s="37">
        <f t="shared" si="6"/>
        <v>47.671</v>
      </c>
      <c r="J13" s="37">
        <f t="shared" si="6"/>
        <v>27.075</v>
      </c>
      <c r="K13" s="13">
        <v>1922.4</v>
      </c>
      <c r="L13" s="13">
        <v>155.95</v>
      </c>
      <c r="M13" s="17">
        <f>N13*12</f>
        <v>134355.648</v>
      </c>
      <c r="N13" s="17">
        <f>C13-SUM(F13:L13)</f>
        <v>11196.304</v>
      </c>
      <c r="O13" s="25" t="s">
        <v>20</v>
      </c>
      <c r="P13" s="29">
        <v>130500.0</v>
      </c>
      <c r="Q13" s="26">
        <v>128000.0</v>
      </c>
    </row>
    <row r="14" ht="15.75" customHeight="1">
      <c r="B14" s="17"/>
      <c r="E14" s="14"/>
      <c r="F14" s="13">
        <f>'Rente 2024'!bonus</f>
        <v>26000</v>
      </c>
      <c r="G14" s="13">
        <f>G12</f>
        <v>12350</v>
      </c>
      <c r="H14" s="13">
        <f>'Rente 2024'!bonus-G14</f>
        <v>13650</v>
      </c>
      <c r="I14" s="13">
        <f>I12</f>
        <v>12350</v>
      </c>
      <c r="J14" s="13">
        <f>'Rente 2024'!bonus</f>
        <v>26000</v>
      </c>
      <c r="K14" s="3"/>
      <c r="L14" s="3"/>
      <c r="O14" s="25" t="s">
        <v>24</v>
      </c>
      <c r="P14" s="29">
        <v>0.0</v>
      </c>
      <c r="Q14" s="29"/>
    </row>
    <row r="15" ht="15.75" customHeight="1">
      <c r="B15" s="22">
        <v>26000.0</v>
      </c>
      <c r="E15" s="39" t="s">
        <v>31</v>
      </c>
      <c r="F15" s="13">
        <f t="shared" ref="F15:J15" si="7">F14*F3</f>
        <v>1378</v>
      </c>
      <c r="G15" s="13">
        <f t="shared" si="7"/>
        <v>135.85</v>
      </c>
      <c r="H15" s="13">
        <f t="shared" si="7"/>
        <v>68.25</v>
      </c>
      <c r="I15" s="13">
        <f t="shared" si="7"/>
        <v>47.671</v>
      </c>
      <c r="J15" s="13">
        <f t="shared" si="7"/>
        <v>49.4</v>
      </c>
      <c r="K15" s="13">
        <f t="shared" ref="K15:L15" si="8">K13</f>
        <v>1922.4</v>
      </c>
      <c r="L15" s="13">
        <f t="shared" si="8"/>
        <v>155.95</v>
      </c>
      <c r="M15" s="17">
        <f>B15-SUM(F15:L15)</f>
        <v>22242.479</v>
      </c>
      <c r="O15" s="41" t="s">
        <v>33</v>
      </c>
      <c r="P15" s="29">
        <v>2623.96</v>
      </c>
    </row>
    <row r="16" ht="8.25" customHeight="1">
      <c r="F16" s="3"/>
      <c r="G16" s="3"/>
      <c r="H16" s="3"/>
      <c r="I16" s="3"/>
      <c r="J16" s="3"/>
      <c r="K16" s="3"/>
      <c r="L16" s="3"/>
      <c r="M16" s="14"/>
      <c r="N16" s="14"/>
      <c r="O16" s="41"/>
      <c r="P16" s="29"/>
      <c r="Q16" s="29"/>
    </row>
    <row r="17" ht="15.75" customHeight="1">
      <c r="B17" s="17">
        <f t="shared" ref="B17:B18" si="9">C17*12</f>
        <v>5520</v>
      </c>
      <c r="C17" s="17">
        <v>460.0</v>
      </c>
      <c r="E17" s="14" t="s">
        <v>23</v>
      </c>
      <c r="F17" s="3"/>
      <c r="G17" s="28"/>
      <c r="H17" s="28"/>
      <c r="I17" s="28"/>
      <c r="J17" s="28"/>
      <c r="K17" s="28"/>
      <c r="L17" s="28"/>
      <c r="M17" s="17">
        <f t="shared" ref="M17:M18" si="10">N17*12</f>
        <v>5520</v>
      </c>
      <c r="N17" s="17">
        <f t="shared" ref="N17:N18" si="11">C17</f>
        <v>460</v>
      </c>
      <c r="O17" s="32"/>
      <c r="R17" s="30"/>
      <c r="S17" s="31"/>
    </row>
    <row r="18" ht="15.75" customHeight="1">
      <c r="B18" s="17">
        <f t="shared" si="9"/>
        <v>4800</v>
      </c>
      <c r="C18" s="17">
        <v>400.0</v>
      </c>
      <c r="E18" s="14" t="s">
        <v>32</v>
      </c>
      <c r="F18" s="3"/>
      <c r="G18" s="28"/>
      <c r="H18" s="28"/>
      <c r="I18" s="28"/>
      <c r="J18" s="28"/>
      <c r="K18" s="28"/>
      <c r="L18" s="28"/>
      <c r="M18" s="17">
        <f t="shared" si="10"/>
        <v>4800</v>
      </c>
      <c r="N18" s="17">
        <f t="shared" si="11"/>
        <v>400</v>
      </c>
      <c r="O18" s="41" t="s">
        <v>34</v>
      </c>
      <c r="P18" s="29">
        <v>18893.0</v>
      </c>
      <c r="Q18" s="29">
        <v>3665.0</v>
      </c>
      <c r="R18" s="30"/>
      <c r="S18" s="31"/>
    </row>
    <row r="19" ht="15.75" customHeight="1">
      <c r="B19" s="30"/>
      <c r="C19" s="17">
        <f>SUM(C13:C18)</f>
        <v>15110</v>
      </c>
      <c r="F19" s="3"/>
      <c r="G19" s="28"/>
      <c r="H19" s="28"/>
      <c r="I19" s="28"/>
      <c r="J19" s="28"/>
      <c r="K19" s="28"/>
      <c r="L19" s="28"/>
      <c r="M19" s="30"/>
      <c r="N19" s="17">
        <f>SUM(N13:N18)</f>
        <v>12056.304</v>
      </c>
      <c r="O19" s="25" t="s">
        <v>36</v>
      </c>
      <c r="P19" s="29"/>
      <c r="Q19" s="29">
        <v>-500.0</v>
      </c>
      <c r="R19" s="30"/>
      <c r="S19" s="31"/>
    </row>
    <row r="20" ht="15.75" customHeight="1">
      <c r="A20" s="30" t="s">
        <v>26</v>
      </c>
      <c r="B20" s="31">
        <f>SUM(B13:B18)</f>
        <v>207320</v>
      </c>
      <c r="F20" s="3"/>
      <c r="G20" s="28"/>
      <c r="H20" s="28"/>
      <c r="I20" s="28"/>
      <c r="J20" s="28"/>
      <c r="K20" s="28"/>
      <c r="L20" s="28"/>
      <c r="M20" s="31">
        <f>SUM(M13:M18)</f>
        <v>166918.127</v>
      </c>
      <c r="N20" s="31"/>
      <c r="O20" s="19"/>
      <c r="P20" s="35">
        <v>18892.5</v>
      </c>
      <c r="Q20" s="35">
        <v>3155.0</v>
      </c>
      <c r="R20" s="36">
        <f>M20-P20-Q20</f>
        <v>144870.627</v>
      </c>
      <c r="S20" s="36">
        <f>R20/12</f>
        <v>12072.55225</v>
      </c>
    </row>
    <row r="21" ht="18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46" t="s">
        <v>41</v>
      </c>
      <c r="N21" s="48"/>
      <c r="O21" s="19"/>
      <c r="P21" s="50"/>
      <c r="Q21" s="35">
        <f>P20+Q20</f>
        <v>22047.5</v>
      </c>
      <c r="R21" s="36">
        <f t="shared" ref="R21:S21" si="12">R20-R10</f>
        <v>46774.831</v>
      </c>
      <c r="S21" s="36">
        <f t="shared" si="12"/>
        <v>3897.902583</v>
      </c>
    </row>
    <row r="22" ht="15.75" customHeight="1"/>
    <row r="23" ht="15.75" customHeight="1">
      <c r="A23" s="52" t="s">
        <v>46</v>
      </c>
      <c r="B23" s="47"/>
      <c r="C23" s="47"/>
      <c r="D23" s="47"/>
      <c r="O23" s="7" t="s">
        <v>49</v>
      </c>
      <c r="P23" s="32" t="s">
        <v>42</v>
      </c>
      <c r="Q23" s="54">
        <v>18893.0</v>
      </c>
    </row>
    <row r="24" ht="15.75" customHeight="1">
      <c r="A24" s="44" t="s">
        <v>38</v>
      </c>
      <c r="O24" s="32"/>
      <c r="P24" s="32" t="s">
        <v>19</v>
      </c>
      <c r="Q24" s="56">
        <v>3155.0</v>
      </c>
    </row>
    <row r="25" ht="15.75" customHeight="1">
      <c r="O25" s="32"/>
      <c r="P25" s="57" t="s">
        <v>26</v>
      </c>
      <c r="Q25" s="33">
        <f>SUM(Q23:Q24)</f>
        <v>22048</v>
      </c>
    </row>
    <row r="26" ht="15.75" customHeight="1">
      <c r="B26" s="51">
        <f>37200/1015</f>
        <v>36.65024631</v>
      </c>
    </row>
    <row r="27" ht="15.75" customHeight="1">
      <c r="B27" s="27">
        <v>13.0</v>
      </c>
      <c r="N27" s="49"/>
      <c r="O27" s="31"/>
    </row>
    <row r="28" ht="15.75" customHeight="1">
      <c r="J28" s="51" t="s">
        <v>50</v>
      </c>
      <c r="M28" s="42" t="s">
        <v>35</v>
      </c>
      <c r="N28" s="6"/>
    </row>
    <row r="29" ht="15.75" customHeight="1">
      <c r="A29" s="51" t="s">
        <v>43</v>
      </c>
      <c r="E29" s="51" t="s">
        <v>44</v>
      </c>
      <c r="G29" s="51" t="s">
        <v>45</v>
      </c>
      <c r="H29" s="58">
        <v>1031155.0</v>
      </c>
      <c r="M29" s="2" t="s">
        <v>1</v>
      </c>
      <c r="N29" s="2" t="s">
        <v>2</v>
      </c>
    </row>
    <row r="30" ht="15.75" customHeight="1">
      <c r="G30" s="51" t="s">
        <v>47</v>
      </c>
      <c r="H30" s="58">
        <v>1143073.0</v>
      </c>
      <c r="J30" s="53">
        <v>0.052</v>
      </c>
      <c r="K30" s="18">
        <f t="shared" ref="K30:K31" si="13">H30*J30</f>
        <v>59439.796</v>
      </c>
      <c r="M30" s="43">
        <f>R21</f>
        <v>46774.831</v>
      </c>
      <c r="N30" s="43">
        <f>M30/12</f>
        <v>3897.902583</v>
      </c>
      <c r="O30" s="59" t="s">
        <v>54</v>
      </c>
      <c r="P30" s="60">
        <f>$R$20-M30</f>
        <v>98095.796</v>
      </c>
      <c r="Q30" s="60">
        <f>P30/12</f>
        <v>8174.649667</v>
      </c>
      <c r="R30" s="61" t="s">
        <v>55</v>
      </c>
      <c r="S30" s="61"/>
    </row>
    <row r="31" ht="15.75" customHeight="1">
      <c r="B31" s="51" t="s">
        <v>56</v>
      </c>
      <c r="E31" s="29">
        <v>30000.0</v>
      </c>
      <c r="F31" s="63">
        <v>5.0</v>
      </c>
      <c r="G31" s="51" t="s">
        <v>52</v>
      </c>
      <c r="H31" s="29">
        <f>30000*F31</f>
        <v>150000</v>
      </c>
      <c r="J31" s="53">
        <v>0.052</v>
      </c>
      <c r="K31" s="18">
        <f t="shared" si="13"/>
        <v>7800</v>
      </c>
      <c r="O31" s="64"/>
      <c r="S31" s="65"/>
    </row>
    <row r="32" ht="15.75" customHeight="1">
      <c r="H32" s="29">
        <f>SUM(H30:H31)</f>
        <v>1293073</v>
      </c>
      <c r="K32" s="18">
        <f>SUM(K30:K31)</f>
        <v>67239.796</v>
      </c>
      <c r="M32" s="66">
        <v>38975.0</v>
      </c>
      <c r="N32" s="43">
        <f>M32/12</f>
        <v>3247.916667</v>
      </c>
      <c r="O32" s="59" t="s">
        <v>54</v>
      </c>
      <c r="P32" s="60">
        <f>$R$20-M32</f>
        <v>105895.627</v>
      </c>
      <c r="Q32" s="60">
        <f>P32/12</f>
        <v>8824.635583</v>
      </c>
      <c r="R32" s="61" t="s">
        <v>57</v>
      </c>
      <c r="S32" s="61"/>
    </row>
    <row r="33" ht="15.75" customHeight="1"/>
    <row r="34" ht="15.75" customHeight="1">
      <c r="N34" s="67" t="s">
        <v>58</v>
      </c>
      <c r="O34" s="67"/>
      <c r="P34" s="67"/>
      <c r="Q34" s="67"/>
      <c r="R34" s="67"/>
    </row>
    <row r="35" ht="15.75" customHeight="1">
      <c r="N35" s="67" t="s">
        <v>59</v>
      </c>
      <c r="O35" s="67"/>
      <c r="P35" s="68"/>
      <c r="Q35" s="68"/>
      <c r="R35" s="68">
        <f>K32</f>
        <v>67239.796</v>
      </c>
    </row>
    <row r="36" ht="15.75" customHeight="1">
      <c r="A36" s="69" t="s">
        <v>62</v>
      </c>
      <c r="B36" s="70"/>
      <c r="C36" s="70"/>
      <c r="D36" s="70"/>
      <c r="E36" s="69" t="s">
        <v>64</v>
      </c>
      <c r="F36" s="70"/>
      <c r="G36" s="69" t="s">
        <v>65</v>
      </c>
      <c r="H36" s="69" t="s">
        <v>66</v>
      </c>
      <c r="I36" s="69" t="s">
        <v>67</v>
      </c>
      <c r="J36" s="69" t="s">
        <v>68</v>
      </c>
      <c r="K36" s="69" t="s">
        <v>69</v>
      </c>
      <c r="L36" s="71"/>
      <c r="N36" s="67" t="s">
        <v>60</v>
      </c>
      <c r="O36" s="67"/>
      <c r="P36" s="67"/>
      <c r="Q36" s="67"/>
      <c r="R36" s="67"/>
    </row>
    <row r="37" ht="15.75" customHeight="1">
      <c r="A37" s="72"/>
      <c r="B37" s="73" t="s">
        <v>70</v>
      </c>
      <c r="C37" s="73" t="s">
        <v>71</v>
      </c>
      <c r="D37" s="72"/>
      <c r="E37" s="73" t="s">
        <v>72</v>
      </c>
      <c r="F37" s="72"/>
      <c r="G37" s="73" t="s">
        <v>73</v>
      </c>
      <c r="H37" s="74"/>
      <c r="I37" s="74">
        <v>27785.0</v>
      </c>
      <c r="J37" s="73"/>
      <c r="K37" s="75"/>
      <c r="L37" s="72"/>
      <c r="N37" s="67" t="s">
        <v>61</v>
      </c>
      <c r="O37" s="67"/>
      <c r="P37" s="67"/>
      <c r="Q37" s="67"/>
      <c r="R37" s="67"/>
    </row>
    <row r="38" ht="15.75" customHeight="1">
      <c r="A38" s="72"/>
      <c r="B38" s="73" t="s">
        <v>70</v>
      </c>
      <c r="C38" s="73" t="s">
        <v>74</v>
      </c>
      <c r="D38" s="72"/>
      <c r="E38" s="73" t="s">
        <v>75</v>
      </c>
      <c r="F38" s="72"/>
      <c r="G38" s="73" t="s">
        <v>76</v>
      </c>
      <c r="H38" s="74"/>
      <c r="I38" s="74">
        <v>37468.91</v>
      </c>
      <c r="J38" s="72"/>
      <c r="K38" s="72"/>
      <c r="L38" s="72"/>
      <c r="N38" s="67" t="s">
        <v>63</v>
      </c>
      <c r="O38" s="67"/>
      <c r="P38" s="68"/>
      <c r="Q38" s="68"/>
      <c r="R38" s="68">
        <f>K30</f>
        <v>59439.796</v>
      </c>
    </row>
    <row r="39" ht="15.75" customHeight="1">
      <c r="A39" s="72"/>
      <c r="B39" s="73" t="s">
        <v>77</v>
      </c>
      <c r="C39" s="72"/>
      <c r="D39" s="72"/>
      <c r="E39" s="76" t="s">
        <v>78</v>
      </c>
      <c r="F39" s="72"/>
      <c r="G39" s="73" t="s">
        <v>79</v>
      </c>
      <c r="H39" s="75">
        <v>17832.05</v>
      </c>
      <c r="I39" s="72"/>
      <c r="J39" s="73" t="s">
        <v>80</v>
      </c>
      <c r="K39" s="75">
        <v>126531.0</v>
      </c>
      <c r="L39" s="72"/>
      <c r="N39" s="67" t="s">
        <v>60</v>
      </c>
      <c r="O39" s="67"/>
      <c r="P39" s="67"/>
      <c r="Q39" s="67"/>
      <c r="R39" s="67"/>
    </row>
    <row r="40" ht="15.75" customHeight="1">
      <c r="A40" s="72"/>
      <c r="B40" s="72"/>
      <c r="C40" s="72"/>
      <c r="D40" s="72"/>
      <c r="E40" s="76"/>
      <c r="F40" s="72"/>
      <c r="G40" s="73" t="s">
        <v>81</v>
      </c>
      <c r="H40" s="74">
        <v>18010.8</v>
      </c>
      <c r="I40" s="72"/>
      <c r="J40" s="72"/>
      <c r="K40" s="72"/>
      <c r="L40" s="72"/>
    </row>
    <row r="41" ht="15.75" customHeight="1">
      <c r="A41" s="72"/>
      <c r="B41" s="72"/>
      <c r="C41" s="72"/>
      <c r="D41" s="72"/>
      <c r="E41" s="76"/>
      <c r="F41" s="72"/>
      <c r="G41" s="73" t="s">
        <v>82</v>
      </c>
      <c r="H41" s="74">
        <v>18280.0</v>
      </c>
      <c r="I41" s="72"/>
      <c r="J41" s="72"/>
      <c r="K41" s="72"/>
      <c r="L41" s="7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F1:L1"/>
    <mergeCell ref="M28:N28"/>
  </mergeCells>
  <hyperlinks>
    <hyperlink r:id="rId1" ref="A24"/>
  </hyperlinks>
  <printOptions/>
  <pageMargins bottom="0.7875" footer="0.0" header="0.0" left="0.7875" right="0.7875" top="0.7875"/>
  <pageSetup paperSize="9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4.0"/>
    <col customWidth="1" min="3" max="3" width="15.25"/>
    <col customWidth="1" min="4" max="4" width="1.75"/>
    <col customWidth="1" min="5" max="5" width="9.0"/>
    <col customWidth="1" min="6" max="12" width="12.5"/>
    <col customWidth="1" min="13" max="13" width="15.0"/>
    <col customWidth="1" min="14" max="14" width="14.5"/>
    <col customWidth="1" min="15" max="15" width="15.38"/>
    <col customWidth="1" min="16" max="16" width="14.38"/>
    <col customWidth="1" min="17" max="17" width="12.88"/>
    <col customWidth="1" min="18" max="18" width="21.63"/>
    <col customWidth="1" min="19" max="26" width="8.63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4" t="s">
        <v>3</v>
      </c>
      <c r="G1" s="5"/>
      <c r="H1" s="5"/>
      <c r="I1" s="5"/>
      <c r="J1" s="5"/>
      <c r="K1" s="5"/>
      <c r="L1" s="6"/>
      <c r="M1" s="2" t="s">
        <v>1</v>
      </c>
      <c r="N1" s="2" t="s">
        <v>2</v>
      </c>
      <c r="O1" s="2" t="s">
        <v>4</v>
      </c>
      <c r="P1" s="2" t="s">
        <v>1</v>
      </c>
      <c r="Q1" s="2" t="s">
        <v>2</v>
      </c>
    </row>
    <row r="2" ht="15.75" customHeight="1">
      <c r="B2" s="8" t="s">
        <v>5</v>
      </c>
      <c r="C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8" t="s">
        <v>13</v>
      </c>
      <c r="N2" s="8" t="s">
        <v>13</v>
      </c>
      <c r="O2" s="8"/>
      <c r="P2" s="8" t="s">
        <v>14</v>
      </c>
      <c r="Q2" s="8" t="s">
        <v>14</v>
      </c>
    </row>
    <row r="3" ht="15.75" customHeight="1">
      <c r="F3" s="11">
        <v>0.053</v>
      </c>
      <c r="G3" s="11">
        <v>0.011</v>
      </c>
      <c r="H3" s="11">
        <v>0.005</v>
      </c>
      <c r="I3" s="12">
        <v>0.00386</v>
      </c>
      <c r="J3" s="11">
        <v>0.0019</v>
      </c>
      <c r="K3" s="9"/>
      <c r="L3" s="9"/>
      <c r="M3" s="8"/>
    </row>
    <row r="4" ht="9.0" customHeight="1">
      <c r="A4" s="3"/>
      <c r="B4" s="13"/>
      <c r="C4" s="1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15.75" customHeight="1">
      <c r="A5" s="14" t="s">
        <v>15</v>
      </c>
      <c r="B5" s="16">
        <v>57110.0</v>
      </c>
      <c r="C5" s="17">
        <f>B5/12</f>
        <v>4759.166667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7">
        <f t="shared" ref="M5:M6" si="1">N5*12</f>
        <v>57110</v>
      </c>
      <c r="N5" s="17">
        <f t="shared" ref="N5:N6" si="2">C5-SUM(F5:L5)</f>
        <v>4759.166667</v>
      </c>
      <c r="O5" s="20">
        <f>0.8*M9</f>
        <v>73048</v>
      </c>
    </row>
    <row r="6" ht="15.75" customHeight="1">
      <c r="A6" s="14" t="s">
        <v>18</v>
      </c>
      <c r="B6" s="17">
        <f>C6*12</f>
        <v>28680</v>
      </c>
      <c r="C6" s="17">
        <v>2390.0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7">
        <f t="shared" si="1"/>
        <v>28680</v>
      </c>
      <c r="N6" s="17">
        <f t="shared" si="2"/>
        <v>2390</v>
      </c>
      <c r="O6" s="24">
        <f>9700/80000</f>
        <v>0.12125</v>
      </c>
    </row>
    <row r="7" ht="15.75" customHeight="1">
      <c r="A7" s="14" t="s">
        <v>21</v>
      </c>
      <c r="B7" s="17"/>
      <c r="C7" s="17"/>
      <c r="F7" s="3"/>
      <c r="G7" s="3"/>
      <c r="H7" s="3"/>
      <c r="I7" s="3"/>
      <c r="J7" s="3"/>
      <c r="K7" s="3"/>
      <c r="L7" s="3"/>
    </row>
    <row r="8" ht="15.75" customHeight="1">
      <c r="B8" s="17">
        <f t="shared" ref="B8:B9" si="3">C8*12</f>
        <v>5520</v>
      </c>
      <c r="C8" s="17">
        <v>460.0</v>
      </c>
      <c r="E8" s="14" t="s">
        <v>23</v>
      </c>
      <c r="F8" s="3"/>
      <c r="G8" s="28"/>
      <c r="H8" s="28"/>
      <c r="I8" s="28"/>
      <c r="J8" s="28"/>
      <c r="K8" s="28"/>
      <c r="L8" s="28"/>
      <c r="M8" s="17">
        <f>N8*12</f>
        <v>5520</v>
      </c>
      <c r="N8" s="17">
        <f>C8</f>
        <v>460</v>
      </c>
      <c r="O8" s="31"/>
      <c r="P8" s="30"/>
      <c r="Q8" s="31"/>
    </row>
    <row r="9" ht="15.75" customHeight="1">
      <c r="A9" s="30" t="s">
        <v>26</v>
      </c>
      <c r="B9" s="31">
        <f t="shared" si="3"/>
        <v>91310</v>
      </c>
      <c r="C9" s="31">
        <f>SUM(C5:C8)</f>
        <v>7609.166667</v>
      </c>
      <c r="F9" s="3"/>
      <c r="G9" s="28"/>
      <c r="H9" s="28"/>
      <c r="I9" s="28"/>
      <c r="J9" s="28"/>
      <c r="K9" s="28"/>
      <c r="L9" s="28"/>
      <c r="M9" s="31">
        <f>SUM(M5:M8)</f>
        <v>91310</v>
      </c>
      <c r="N9" s="17">
        <f>SUM(N3:N8)</f>
        <v>7609.166667</v>
      </c>
      <c r="O9" s="20">
        <f>O5*O6</f>
        <v>8857.07</v>
      </c>
      <c r="P9" s="34">
        <f>M9-O9</f>
        <v>82452.93</v>
      </c>
      <c r="Q9" s="34">
        <f>P9/12</f>
        <v>6871.0775</v>
      </c>
    </row>
    <row r="10" ht="9.0" customHeight="1">
      <c r="A10" s="3"/>
      <c r="B10" s="3"/>
      <c r="C10" s="3"/>
      <c r="D10" s="3"/>
      <c r="E10" s="3"/>
      <c r="F10" s="3"/>
      <c r="G10" s="13"/>
      <c r="H10" s="3"/>
      <c r="I10" s="13"/>
      <c r="J10" s="3"/>
      <c r="K10" s="3"/>
      <c r="L10" s="3"/>
      <c r="M10" s="3"/>
      <c r="N10" s="3"/>
      <c r="O10" s="3"/>
      <c r="P10" s="3"/>
      <c r="Q10" s="3"/>
    </row>
    <row r="11" ht="15.75" customHeight="1">
      <c r="F11" s="13">
        <f>C12</f>
        <v>14250</v>
      </c>
      <c r="G11" s="13">
        <v>12350.0</v>
      </c>
      <c r="H11" s="13">
        <f>'Rente 2023'!mtHeute-G11</f>
        <v>1900</v>
      </c>
      <c r="I11" s="13">
        <f>'Rente 2023'!mtKoord</f>
        <v>12350</v>
      </c>
      <c r="J11" s="13">
        <f>'Rente 2023'!mtHeute</f>
        <v>14250</v>
      </c>
      <c r="K11" s="3"/>
      <c r="L11" s="3"/>
      <c r="O11" s="20">
        <v>150200.0</v>
      </c>
    </row>
    <row r="12" ht="15.75" customHeight="1">
      <c r="A12" s="14" t="s">
        <v>29</v>
      </c>
      <c r="B12" s="17">
        <f>C12*12</f>
        <v>171000</v>
      </c>
      <c r="C12" s="17">
        <v>14250.0</v>
      </c>
      <c r="F12" s="3">
        <f>'Rente 2023'!mtHeute*F3</f>
        <v>755.25</v>
      </c>
      <c r="G12" s="3">
        <f t="shared" ref="G12:J12" si="4">G11*G3</f>
        <v>135.85</v>
      </c>
      <c r="H12" s="37">
        <f t="shared" si="4"/>
        <v>9.5</v>
      </c>
      <c r="I12" s="37">
        <f t="shared" si="4"/>
        <v>47.671</v>
      </c>
      <c r="J12" s="37">
        <f t="shared" si="4"/>
        <v>27.075</v>
      </c>
      <c r="K12" s="13">
        <v>1922.4</v>
      </c>
      <c r="L12" s="13">
        <v>155.95</v>
      </c>
      <c r="M12" s="17">
        <f>N12*12</f>
        <v>134355.648</v>
      </c>
      <c r="N12" s="17">
        <f>C12-SUM(F12:L12)</f>
        <v>11196.304</v>
      </c>
      <c r="O12" s="24">
        <v>0.186</v>
      </c>
    </row>
    <row r="13" ht="15.75" customHeight="1">
      <c r="B13" s="17"/>
      <c r="E13" s="14"/>
      <c r="F13" s="13">
        <f>'Rente 2023'!bonus</f>
        <v>30000</v>
      </c>
      <c r="G13" s="13">
        <f>G11</f>
        <v>12350</v>
      </c>
      <c r="H13" s="13">
        <f>'Rente 2023'!bonus-G13</f>
        <v>17650</v>
      </c>
      <c r="I13" s="13">
        <f>I11</f>
        <v>12350</v>
      </c>
      <c r="J13" s="13">
        <f>'Rente 2023'!bonus</f>
        <v>30000</v>
      </c>
      <c r="K13" s="3"/>
      <c r="L13" s="3"/>
    </row>
    <row r="14" ht="15.75" customHeight="1">
      <c r="B14" s="17">
        <v>30000.0</v>
      </c>
      <c r="E14" s="14" t="s">
        <v>30</v>
      </c>
      <c r="F14" s="13">
        <f t="shared" ref="F14:J14" si="5">F13*F3</f>
        <v>1590</v>
      </c>
      <c r="G14" s="13">
        <f t="shared" si="5"/>
        <v>135.85</v>
      </c>
      <c r="H14" s="13">
        <f t="shared" si="5"/>
        <v>88.25</v>
      </c>
      <c r="I14" s="13">
        <f t="shared" si="5"/>
        <v>47.671</v>
      </c>
      <c r="J14" s="13">
        <f t="shared" si="5"/>
        <v>57</v>
      </c>
      <c r="K14" s="13">
        <f t="shared" ref="K14:L14" si="6">K12</f>
        <v>1922.4</v>
      </c>
      <c r="L14" s="13">
        <f t="shared" si="6"/>
        <v>155.95</v>
      </c>
      <c r="M14" s="17">
        <f>B14-SUM(F14:L14)</f>
        <v>26002.879</v>
      </c>
    </row>
    <row r="15" ht="8.25" customHeight="1">
      <c r="F15" s="3"/>
      <c r="G15" s="3"/>
      <c r="H15" s="3"/>
      <c r="I15" s="3"/>
      <c r="J15" s="3"/>
      <c r="K15" s="3"/>
      <c r="L15" s="3"/>
      <c r="M15" s="14"/>
      <c r="N15" s="14"/>
      <c r="O15" s="14"/>
    </row>
    <row r="16" ht="15.75" customHeight="1">
      <c r="B16" s="17">
        <f t="shared" ref="B16:B17" si="7">C16*12</f>
        <v>5520</v>
      </c>
      <c r="C16" s="17">
        <v>460.0</v>
      </c>
      <c r="E16" s="14" t="s">
        <v>23</v>
      </c>
      <c r="F16" s="3"/>
      <c r="G16" s="28"/>
      <c r="H16" s="28"/>
      <c r="I16" s="28"/>
      <c r="J16" s="28"/>
      <c r="K16" s="28"/>
      <c r="L16" s="28"/>
      <c r="M16" s="17">
        <f t="shared" ref="M16:M17" si="8">N16*12</f>
        <v>5520</v>
      </c>
      <c r="N16" s="17">
        <f t="shared" ref="N16:N17" si="9">C16</f>
        <v>460</v>
      </c>
      <c r="O16" s="31"/>
      <c r="P16" s="30"/>
      <c r="Q16" s="31"/>
    </row>
    <row r="17" ht="15.75" customHeight="1">
      <c r="B17" s="17">
        <f t="shared" si="7"/>
        <v>4800</v>
      </c>
      <c r="C17" s="17">
        <v>400.0</v>
      </c>
      <c r="E17" s="14" t="s">
        <v>32</v>
      </c>
      <c r="F17" s="3"/>
      <c r="G17" s="28"/>
      <c r="H17" s="28"/>
      <c r="I17" s="28"/>
      <c r="J17" s="28"/>
      <c r="K17" s="28"/>
      <c r="L17" s="28"/>
      <c r="M17" s="17">
        <f t="shared" si="8"/>
        <v>4800</v>
      </c>
      <c r="N17" s="17">
        <f t="shared" si="9"/>
        <v>400</v>
      </c>
      <c r="O17" s="31"/>
      <c r="P17" s="30"/>
      <c r="Q17" s="31"/>
    </row>
    <row r="18" ht="15.75" customHeight="1">
      <c r="B18" s="30"/>
      <c r="C18" s="17">
        <f>SUM(C12:C17)</f>
        <v>15110</v>
      </c>
      <c r="F18" s="3"/>
      <c r="G18" s="28"/>
      <c r="H18" s="28"/>
      <c r="I18" s="28"/>
      <c r="J18" s="28"/>
      <c r="K18" s="28"/>
      <c r="L18" s="28"/>
      <c r="M18" s="30"/>
      <c r="N18" s="17">
        <f>SUM(N12:N17)</f>
        <v>12056.304</v>
      </c>
      <c r="O18" s="31"/>
      <c r="P18" s="30"/>
      <c r="Q18" s="31"/>
    </row>
    <row r="19" ht="15.75" customHeight="1">
      <c r="A19" s="30" t="s">
        <v>26</v>
      </c>
      <c r="B19" s="31">
        <f>SUM(B12:B17)</f>
        <v>211320</v>
      </c>
      <c r="F19" s="3"/>
      <c r="G19" s="28"/>
      <c r="H19" s="28"/>
      <c r="I19" s="28"/>
      <c r="J19" s="28"/>
      <c r="K19" s="28"/>
      <c r="L19" s="28"/>
      <c r="M19" s="31">
        <f>SUM(M12:M17)</f>
        <v>170678.527</v>
      </c>
      <c r="N19" s="31"/>
      <c r="O19" s="20">
        <f>O11*O12</f>
        <v>27937.2</v>
      </c>
      <c r="P19" s="20">
        <f>M19-O19</f>
        <v>142741.327</v>
      </c>
      <c r="Q19" s="20">
        <f>P19/12</f>
        <v>11895.11058</v>
      </c>
    </row>
    <row r="20" ht="18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2" t="s">
        <v>35</v>
      </c>
      <c r="N20" s="5"/>
      <c r="O20" s="6"/>
      <c r="P20" s="43">
        <f t="shared" ref="P20:Q20" si="10">P19-P9</f>
        <v>60288.397</v>
      </c>
      <c r="Q20" s="43">
        <f t="shared" si="10"/>
        <v>5024.033083</v>
      </c>
    </row>
    <row r="21" ht="15.75" customHeight="1"/>
    <row r="22" ht="15.75" customHeight="1">
      <c r="A22" s="45" t="s">
        <v>39</v>
      </c>
      <c r="B22" s="47"/>
      <c r="C22" s="47"/>
      <c r="D22" s="47"/>
    </row>
    <row r="23" ht="15.75" customHeight="1">
      <c r="A23" s="44" t="s">
        <v>38</v>
      </c>
      <c r="M23" s="49" t="s">
        <v>40</v>
      </c>
      <c r="N23" s="51" t="s">
        <v>42</v>
      </c>
      <c r="O23" s="17">
        <v>22863.8</v>
      </c>
    </row>
    <row r="24" ht="15.75" customHeight="1">
      <c r="N24" s="51" t="s">
        <v>19</v>
      </c>
      <c r="O24" s="17">
        <v>5066.0</v>
      </c>
    </row>
    <row r="25" ht="15.75" customHeight="1">
      <c r="N25" s="49" t="s">
        <v>26</v>
      </c>
      <c r="O25" s="31">
        <f>SUM(O23:O24)</f>
        <v>27929.8</v>
      </c>
    </row>
    <row r="26" ht="15.75" customHeight="1">
      <c r="N26" s="49"/>
      <c r="O26" s="31"/>
    </row>
    <row r="27" ht="15.75" customHeight="1">
      <c r="J27" s="51" t="s">
        <v>50</v>
      </c>
      <c r="M27" s="42" t="s">
        <v>35</v>
      </c>
      <c r="N27" s="6"/>
    </row>
    <row r="28" ht="15.75" customHeight="1">
      <c r="A28" s="51" t="s">
        <v>43</v>
      </c>
      <c r="E28" s="51" t="s">
        <v>44</v>
      </c>
      <c r="G28" s="51" t="s">
        <v>45</v>
      </c>
      <c r="H28" s="55">
        <v>984778.0</v>
      </c>
      <c r="M28" s="2" t="s">
        <v>1</v>
      </c>
      <c r="N28" s="2" t="s">
        <v>2</v>
      </c>
    </row>
    <row r="29" ht="15.75" customHeight="1">
      <c r="G29" s="51" t="s">
        <v>47</v>
      </c>
      <c r="H29" s="55">
        <v>1098288.0</v>
      </c>
      <c r="J29" s="53">
        <v>0.052</v>
      </c>
      <c r="K29" s="18">
        <f t="shared" ref="K29:K30" si="11">H29*J29</f>
        <v>57110.976</v>
      </c>
      <c r="M29" s="43">
        <f>P20</f>
        <v>60288.397</v>
      </c>
      <c r="N29" s="43">
        <f>M29/12</f>
        <v>5024.033083</v>
      </c>
      <c r="O29" s="59" t="s">
        <v>54</v>
      </c>
      <c r="P29" s="60">
        <f>$P$19-M29</f>
        <v>82452.93</v>
      </c>
      <c r="Q29" s="60">
        <f>P29/12</f>
        <v>6871.0775</v>
      </c>
      <c r="R29" s="61" t="s">
        <v>55</v>
      </c>
    </row>
    <row r="30" ht="15.75" customHeight="1">
      <c r="B30" s="51" t="s">
        <v>56</v>
      </c>
      <c r="E30" s="29">
        <v>30000.0</v>
      </c>
      <c r="F30" s="63">
        <v>6.0</v>
      </c>
      <c r="G30" s="51" t="s">
        <v>52</v>
      </c>
      <c r="H30" s="29">
        <f>30000*F30</f>
        <v>180000</v>
      </c>
      <c r="J30" s="53">
        <v>0.052</v>
      </c>
      <c r="K30" s="18">
        <f t="shared" si="11"/>
        <v>9360</v>
      </c>
      <c r="O30" s="64"/>
      <c r="Q30" s="65"/>
    </row>
    <row r="31" ht="15.75" customHeight="1">
      <c r="H31" s="29">
        <f>SUM(H29:H30)</f>
        <v>1278288</v>
      </c>
      <c r="K31" s="18">
        <f>SUM(K29:K30)</f>
        <v>66470.976</v>
      </c>
      <c r="M31" s="43">
        <v>51835.0</v>
      </c>
      <c r="N31" s="43">
        <f>M31/12</f>
        <v>4319.583333</v>
      </c>
      <c r="O31" s="59" t="s">
        <v>54</v>
      </c>
      <c r="P31" s="60">
        <f>$P$19-M31</f>
        <v>90906.327</v>
      </c>
      <c r="Q31" s="60">
        <f>P31/12</f>
        <v>7575.52725</v>
      </c>
      <c r="R31" s="61" t="s">
        <v>57</v>
      </c>
    </row>
    <row r="32" ht="15.75" customHeight="1"/>
    <row r="33" ht="15.75" customHeight="1">
      <c r="K33" s="67" t="s">
        <v>58</v>
      </c>
      <c r="L33" s="67"/>
      <c r="M33" s="67"/>
    </row>
    <row r="34" ht="15.75" customHeight="1">
      <c r="K34" s="67" t="s">
        <v>59</v>
      </c>
      <c r="L34" s="67"/>
      <c r="M34" s="68">
        <f>K31</f>
        <v>66470.976</v>
      </c>
    </row>
    <row r="35" ht="15.75" customHeight="1">
      <c r="K35" s="67" t="s">
        <v>60</v>
      </c>
      <c r="L35" s="67"/>
      <c r="M35" s="67"/>
    </row>
    <row r="36" ht="15.75" customHeight="1">
      <c r="K36" s="67" t="s">
        <v>61</v>
      </c>
      <c r="L36" s="67"/>
      <c r="M36" s="67"/>
    </row>
    <row r="37" ht="15.75" customHeight="1">
      <c r="K37" s="67" t="s">
        <v>63</v>
      </c>
      <c r="L37" s="67"/>
      <c r="M37" s="68">
        <f>K29</f>
        <v>57110.976</v>
      </c>
    </row>
    <row r="38" ht="15.75" customHeight="1">
      <c r="K38" s="67" t="s">
        <v>60</v>
      </c>
      <c r="L38" s="67"/>
      <c r="M38" s="6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F1:L1"/>
    <mergeCell ref="M20:O20"/>
    <mergeCell ref="M27:N27"/>
  </mergeCells>
  <hyperlinks>
    <hyperlink r:id="rId1" ref="A23"/>
  </hyperlinks>
  <printOptions/>
  <pageMargins bottom="0.7875" footer="0.0" header="0.0" left="0.7875" right="0.7875" top="0.78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4.0"/>
    <col customWidth="1" min="3" max="3" width="15.25"/>
    <col customWidth="1" min="4" max="4" width="1.75"/>
    <col customWidth="1" min="5" max="5" width="9.0"/>
    <col customWidth="1" min="6" max="12" width="12.5"/>
    <col customWidth="1" min="13" max="13" width="15.0"/>
    <col customWidth="1" min="14" max="14" width="14.5"/>
    <col customWidth="1" min="15" max="15" width="16.88"/>
    <col customWidth="1" min="16" max="16" width="14.38"/>
    <col customWidth="1" min="17" max="17" width="12.88"/>
    <col customWidth="1" min="18" max="26" width="8.63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4" t="s">
        <v>3</v>
      </c>
      <c r="G1" s="5"/>
      <c r="H1" s="5"/>
      <c r="I1" s="5"/>
      <c r="J1" s="5"/>
      <c r="K1" s="5"/>
      <c r="L1" s="6"/>
      <c r="M1" s="2" t="s">
        <v>1</v>
      </c>
      <c r="N1" s="2" t="s">
        <v>2</v>
      </c>
      <c r="O1" s="2" t="s">
        <v>4</v>
      </c>
      <c r="P1" s="2" t="s">
        <v>1</v>
      </c>
      <c r="Q1" s="2" t="s">
        <v>2</v>
      </c>
    </row>
    <row r="2" ht="15.75" customHeight="1">
      <c r="B2" s="8" t="s">
        <v>5</v>
      </c>
      <c r="C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8" t="s">
        <v>13</v>
      </c>
      <c r="N2" s="8" t="s">
        <v>13</v>
      </c>
      <c r="O2" s="8"/>
      <c r="P2" s="8" t="s">
        <v>14</v>
      </c>
      <c r="Q2" s="8" t="s">
        <v>14</v>
      </c>
    </row>
    <row r="3" ht="15.75" customHeight="1">
      <c r="F3" s="11">
        <v>0.053</v>
      </c>
      <c r="G3" s="11">
        <v>0.011</v>
      </c>
      <c r="H3" s="11">
        <v>0.005</v>
      </c>
      <c r="I3" s="12">
        <v>0.00386</v>
      </c>
      <c r="J3" s="11">
        <v>0.0019</v>
      </c>
      <c r="K3" s="9"/>
      <c r="L3" s="9"/>
      <c r="M3" s="8"/>
    </row>
    <row r="4" ht="9.0" customHeight="1">
      <c r="A4" s="3"/>
      <c r="B4" s="13"/>
      <c r="C4" s="1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15.75" customHeight="1">
      <c r="A5" s="14" t="s">
        <v>15</v>
      </c>
      <c r="B5" s="16">
        <v>55783.52</v>
      </c>
      <c r="C5" s="17">
        <f>B5/12</f>
        <v>4648.626667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7">
        <f t="shared" ref="M5:M6" si="1">N5*12</f>
        <v>55783.52</v>
      </c>
      <c r="N5" s="17">
        <f t="shared" ref="N5:N6" si="2">C5-SUM(F5:L5)</f>
        <v>4648.626667</v>
      </c>
      <c r="O5" s="20">
        <f>0.8*M9</f>
        <v>71986.816</v>
      </c>
    </row>
    <row r="6" ht="15.75" customHeight="1">
      <c r="A6" s="14" t="s">
        <v>18</v>
      </c>
      <c r="B6" s="17">
        <f>C6*12</f>
        <v>28680</v>
      </c>
      <c r="C6" s="17">
        <v>2390.0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7">
        <f t="shared" si="1"/>
        <v>28680</v>
      </c>
      <c r="N6" s="17">
        <f t="shared" si="2"/>
        <v>2390</v>
      </c>
      <c r="O6" s="24">
        <f>9700/80000</f>
        <v>0.12125</v>
      </c>
    </row>
    <row r="7" ht="15.75" customHeight="1">
      <c r="A7" s="14" t="s">
        <v>21</v>
      </c>
      <c r="B7" s="17"/>
      <c r="C7" s="17"/>
      <c r="F7" s="3"/>
      <c r="G7" s="3"/>
      <c r="H7" s="3"/>
      <c r="I7" s="3"/>
      <c r="J7" s="3"/>
      <c r="K7" s="3"/>
      <c r="L7" s="3"/>
    </row>
    <row r="8" ht="15.75" customHeight="1">
      <c r="B8" s="17">
        <f t="shared" ref="B8:B9" si="3">C8*12</f>
        <v>5520</v>
      </c>
      <c r="C8" s="17">
        <v>460.0</v>
      </c>
      <c r="E8" s="14" t="s">
        <v>23</v>
      </c>
      <c r="F8" s="3"/>
      <c r="G8" s="28"/>
      <c r="H8" s="28"/>
      <c r="I8" s="28"/>
      <c r="J8" s="28"/>
      <c r="K8" s="28"/>
      <c r="L8" s="28"/>
      <c r="M8" s="17">
        <f>N8*12</f>
        <v>5520</v>
      </c>
      <c r="N8" s="17">
        <f>C8</f>
        <v>460</v>
      </c>
      <c r="O8" s="31"/>
      <c r="P8" s="30"/>
      <c r="Q8" s="31"/>
    </row>
    <row r="9" ht="15.75" customHeight="1">
      <c r="A9" s="30" t="s">
        <v>26</v>
      </c>
      <c r="B9" s="31">
        <f t="shared" si="3"/>
        <v>89983.52</v>
      </c>
      <c r="C9" s="31">
        <f>SUM(C5:C8)</f>
        <v>7498.626667</v>
      </c>
      <c r="F9" s="3"/>
      <c r="G9" s="28"/>
      <c r="H9" s="28"/>
      <c r="I9" s="28"/>
      <c r="J9" s="28"/>
      <c r="K9" s="28"/>
      <c r="L9" s="28"/>
      <c r="M9" s="31">
        <f>SUM(M5:M8)</f>
        <v>89983.52</v>
      </c>
      <c r="N9" s="17">
        <f>SUM(N3:N8)</f>
        <v>7498.626667</v>
      </c>
      <c r="O9" s="20">
        <f>O5*O6</f>
        <v>8728.40144</v>
      </c>
      <c r="P9" s="20">
        <f>M9-O9</f>
        <v>81255.11856</v>
      </c>
      <c r="Q9" s="20">
        <f>P9/12</f>
        <v>6771.25988</v>
      </c>
    </row>
    <row r="10" ht="9.0" customHeight="1">
      <c r="A10" s="3"/>
      <c r="B10" s="3"/>
      <c r="C10" s="3"/>
      <c r="D10" s="3"/>
      <c r="E10" s="3"/>
      <c r="F10" s="3"/>
      <c r="G10" s="13"/>
      <c r="H10" s="3"/>
      <c r="I10" s="13"/>
      <c r="J10" s="3"/>
      <c r="K10" s="3"/>
      <c r="L10" s="3"/>
      <c r="M10" s="3"/>
      <c r="N10" s="3"/>
      <c r="O10" s="3"/>
      <c r="P10" s="3"/>
      <c r="Q10" s="3"/>
    </row>
    <row r="11" ht="15.75" customHeight="1">
      <c r="F11" s="13">
        <f>C12</f>
        <v>14250</v>
      </c>
      <c r="G11" s="13">
        <v>12350.0</v>
      </c>
      <c r="H11" s="13">
        <f>mtHeute-G11</f>
        <v>1900</v>
      </c>
      <c r="I11" s="13">
        <f>mtKoord</f>
        <v>12350</v>
      </c>
      <c r="J11" s="13">
        <f>mtHeute</f>
        <v>14250</v>
      </c>
      <c r="K11" s="3"/>
      <c r="L11" s="3"/>
      <c r="O11" s="20">
        <v>150200.0</v>
      </c>
    </row>
    <row r="12" ht="15.75" customHeight="1">
      <c r="A12" s="14" t="s">
        <v>29</v>
      </c>
      <c r="B12" s="17">
        <f>C12*12</f>
        <v>171000</v>
      </c>
      <c r="C12" s="17">
        <v>14250.0</v>
      </c>
      <c r="F12" s="3">
        <f>mtHeute*F3</f>
        <v>755.25</v>
      </c>
      <c r="G12" s="3">
        <f t="shared" ref="G12:J12" si="4">G11*G3</f>
        <v>135.85</v>
      </c>
      <c r="H12" s="37">
        <f t="shared" si="4"/>
        <v>9.5</v>
      </c>
      <c r="I12" s="37">
        <f t="shared" si="4"/>
        <v>47.671</v>
      </c>
      <c r="J12" s="37">
        <f t="shared" si="4"/>
        <v>27.075</v>
      </c>
      <c r="K12" s="13">
        <v>1922.4</v>
      </c>
      <c r="L12" s="13">
        <v>155.95</v>
      </c>
      <c r="M12" s="17">
        <f>N12*12</f>
        <v>134355.648</v>
      </c>
      <c r="N12" s="17">
        <f>C12-SUM(F12:L12)</f>
        <v>11196.304</v>
      </c>
      <c r="O12" s="24">
        <v>0.186</v>
      </c>
    </row>
    <row r="13" ht="15.75" customHeight="1">
      <c r="B13" s="17"/>
      <c r="E13" s="14"/>
      <c r="F13" s="13">
        <f>bonus</f>
        <v>30000</v>
      </c>
      <c r="G13" s="13">
        <f>G11</f>
        <v>12350</v>
      </c>
      <c r="H13" s="13">
        <f>bonus-G13</f>
        <v>17650</v>
      </c>
      <c r="I13" s="13">
        <f>I11</f>
        <v>12350</v>
      </c>
      <c r="J13" s="13">
        <f>bonus</f>
        <v>30000</v>
      </c>
      <c r="K13" s="3"/>
      <c r="L13" s="3"/>
    </row>
    <row r="14" ht="15.75" customHeight="1">
      <c r="B14" s="17">
        <v>30000.0</v>
      </c>
      <c r="E14" s="14" t="s">
        <v>30</v>
      </c>
      <c r="F14" s="13">
        <f t="shared" ref="F14:J14" si="5">F13*F3</f>
        <v>1590</v>
      </c>
      <c r="G14" s="13">
        <f t="shared" si="5"/>
        <v>135.85</v>
      </c>
      <c r="H14" s="13">
        <f t="shared" si="5"/>
        <v>88.25</v>
      </c>
      <c r="I14" s="13">
        <f t="shared" si="5"/>
        <v>47.671</v>
      </c>
      <c r="J14" s="13">
        <f t="shared" si="5"/>
        <v>57</v>
      </c>
      <c r="K14" s="13">
        <f t="shared" ref="K14:L14" si="6">K12</f>
        <v>1922.4</v>
      </c>
      <c r="L14" s="13">
        <f t="shared" si="6"/>
        <v>155.95</v>
      </c>
      <c r="M14" s="17">
        <f>B14-SUM(F14:L14)</f>
        <v>26002.879</v>
      </c>
    </row>
    <row r="15" ht="8.25" customHeight="1">
      <c r="F15" s="3"/>
      <c r="G15" s="3"/>
      <c r="H15" s="3"/>
      <c r="I15" s="3"/>
      <c r="J15" s="3"/>
      <c r="K15" s="3"/>
      <c r="L15" s="3"/>
      <c r="M15" s="14"/>
      <c r="N15" s="14"/>
      <c r="O15" s="14"/>
    </row>
    <row r="16" ht="15.75" customHeight="1">
      <c r="B16" s="17">
        <f t="shared" ref="B16:B17" si="7">C16*12</f>
        <v>5520</v>
      </c>
      <c r="C16" s="17">
        <v>460.0</v>
      </c>
      <c r="E16" s="14" t="s">
        <v>23</v>
      </c>
      <c r="F16" s="3"/>
      <c r="G16" s="28"/>
      <c r="H16" s="28"/>
      <c r="I16" s="28"/>
      <c r="J16" s="28"/>
      <c r="K16" s="28"/>
      <c r="L16" s="28"/>
      <c r="M16" s="17">
        <f t="shared" ref="M16:M17" si="8">N16*12</f>
        <v>5520</v>
      </c>
      <c r="N16" s="17">
        <f t="shared" ref="N16:N17" si="9">C16</f>
        <v>460</v>
      </c>
      <c r="O16" s="31"/>
      <c r="P16" s="30"/>
      <c r="Q16" s="31"/>
    </row>
    <row r="17" ht="15.75" customHeight="1">
      <c r="B17" s="17">
        <f t="shared" si="7"/>
        <v>4800</v>
      </c>
      <c r="C17" s="17">
        <v>400.0</v>
      </c>
      <c r="E17" s="14" t="s">
        <v>32</v>
      </c>
      <c r="F17" s="3"/>
      <c r="G17" s="28"/>
      <c r="H17" s="28"/>
      <c r="I17" s="28"/>
      <c r="J17" s="28"/>
      <c r="K17" s="28"/>
      <c r="L17" s="28"/>
      <c r="M17" s="17">
        <f t="shared" si="8"/>
        <v>4800</v>
      </c>
      <c r="N17" s="17">
        <f t="shared" si="9"/>
        <v>400</v>
      </c>
      <c r="O17" s="31"/>
      <c r="P17" s="30"/>
      <c r="Q17" s="31"/>
    </row>
    <row r="18" ht="15.75" customHeight="1">
      <c r="B18" s="30"/>
      <c r="C18" s="17">
        <f>SUM(C12:C17)</f>
        <v>15110</v>
      </c>
      <c r="F18" s="3"/>
      <c r="G18" s="28"/>
      <c r="H18" s="28"/>
      <c r="I18" s="28"/>
      <c r="J18" s="28"/>
      <c r="K18" s="28"/>
      <c r="L18" s="28"/>
      <c r="M18" s="30"/>
      <c r="N18" s="17">
        <f>SUM(N12:N17)</f>
        <v>12056.304</v>
      </c>
      <c r="O18" s="31"/>
      <c r="P18" s="30"/>
      <c r="Q18" s="31"/>
    </row>
    <row r="19" ht="15.75" customHeight="1">
      <c r="A19" s="30" t="s">
        <v>26</v>
      </c>
      <c r="B19" s="31">
        <f>SUM(B12:B17)</f>
        <v>211320</v>
      </c>
      <c r="F19" s="3"/>
      <c r="G19" s="28"/>
      <c r="H19" s="28"/>
      <c r="I19" s="28"/>
      <c r="J19" s="28"/>
      <c r="K19" s="28"/>
      <c r="L19" s="28"/>
      <c r="M19" s="31">
        <f>SUM(M12:M17)</f>
        <v>170678.527</v>
      </c>
      <c r="N19" s="31"/>
      <c r="O19" s="20">
        <f>O11*O12</f>
        <v>27937.2</v>
      </c>
      <c r="P19" s="20">
        <f>M19-O19</f>
        <v>142741.327</v>
      </c>
      <c r="Q19" s="20">
        <f>P19/12</f>
        <v>11895.11058</v>
      </c>
    </row>
    <row r="20" ht="18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2" t="s">
        <v>35</v>
      </c>
      <c r="N20" s="5"/>
      <c r="O20" s="6"/>
      <c r="P20" s="43">
        <f t="shared" ref="P20:Q20" si="10">P19-P9</f>
        <v>61486.20844</v>
      </c>
      <c r="Q20" s="43">
        <f t="shared" si="10"/>
        <v>5123.850703</v>
      </c>
    </row>
    <row r="21" ht="15.75" customHeight="1"/>
    <row r="22" ht="15.75" customHeight="1">
      <c r="A22" s="39" t="s">
        <v>37</v>
      </c>
    </row>
    <row r="23" ht="15.75" customHeight="1">
      <c r="A23" s="44" t="s">
        <v>38</v>
      </c>
      <c r="M23" s="49" t="s">
        <v>40</v>
      </c>
      <c r="N23" s="51" t="s">
        <v>42</v>
      </c>
      <c r="O23" s="17">
        <v>22863.8</v>
      </c>
    </row>
    <row r="24" ht="15.75" customHeight="1">
      <c r="N24" s="51" t="s">
        <v>19</v>
      </c>
      <c r="O24" s="17">
        <v>5066.0</v>
      </c>
    </row>
    <row r="25" ht="15.75" customHeight="1">
      <c r="N25" s="49" t="s">
        <v>26</v>
      </c>
      <c r="O25" s="31">
        <f>SUM(O23:O24)</f>
        <v>27929.8</v>
      </c>
    </row>
    <row r="26" ht="15.75" customHeight="1">
      <c r="A26" s="51" t="s">
        <v>43</v>
      </c>
      <c r="E26" s="51" t="s">
        <v>44</v>
      </c>
      <c r="G26" s="51" t="s">
        <v>45</v>
      </c>
      <c r="H26" s="29">
        <v>950877.0</v>
      </c>
    </row>
    <row r="27" ht="15.75" customHeight="1">
      <c r="G27" s="51" t="s">
        <v>47</v>
      </c>
      <c r="H27" s="29">
        <v>1072760.0</v>
      </c>
      <c r="I27" s="51" t="s">
        <v>48</v>
      </c>
      <c r="J27" s="53">
        <v>0.052</v>
      </c>
      <c r="K27" s="16">
        <f t="shared" ref="K27:K28" si="11">H27*J27</f>
        <v>55783.52</v>
      </c>
      <c r="M27" s="43">
        <v>61485.9556</v>
      </c>
      <c r="N27" s="43">
        <v>5123.8296333333</v>
      </c>
    </row>
    <row r="28" ht="15.75" customHeight="1">
      <c r="B28" s="51" t="s">
        <v>51</v>
      </c>
      <c r="F28" s="51">
        <v>9.0</v>
      </c>
      <c r="G28" s="51" t="s">
        <v>52</v>
      </c>
      <c r="H28" s="29">
        <f>30000*F28</f>
        <v>270000</v>
      </c>
      <c r="I28" s="51" t="s">
        <v>48</v>
      </c>
      <c r="J28" s="53">
        <v>0.052</v>
      </c>
      <c r="K28" s="16">
        <f t="shared" si="11"/>
        <v>14040</v>
      </c>
    </row>
    <row r="29" ht="15.75" customHeight="1">
      <c r="H29" s="29">
        <f>SUM(H27:H28)</f>
        <v>1342760</v>
      </c>
      <c r="K29" s="16">
        <f>SUM(K27:K28)</f>
        <v>69823.52</v>
      </c>
      <c r="M29" s="43">
        <v>48808.08844</v>
      </c>
      <c r="N29" s="43">
        <v>4067.3407033333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1:L1"/>
    <mergeCell ref="M20:O20"/>
  </mergeCells>
  <hyperlinks>
    <hyperlink r:id="rId1" ref="A23"/>
  </hyperlinks>
  <printOptions/>
  <pageMargins bottom="0.7875" footer="0.0" header="0.0" left="0.7875" right="0.7875" top="0.78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.13"/>
    <col customWidth="1" min="3" max="3" width="14.38"/>
    <col customWidth="1" min="4" max="4" width="12.88"/>
    <col customWidth="1" min="5" max="5" width="13.38"/>
    <col customWidth="1" min="6" max="6" width="1.88"/>
    <col customWidth="1" min="7" max="7" width="29.5"/>
    <col customWidth="1" min="8" max="8" width="2.63"/>
    <col customWidth="1" min="9" max="10" width="11.5"/>
    <col customWidth="1" min="11" max="26" width="8.63"/>
  </cols>
  <sheetData>
    <row r="1" ht="12.75" customHeight="1">
      <c r="A1" s="77" t="s">
        <v>35</v>
      </c>
      <c r="B1" s="77"/>
      <c r="E1" s="77"/>
      <c r="F1" s="77"/>
      <c r="G1" s="78"/>
    </row>
    <row r="2" ht="12.75" customHeight="1">
      <c r="A2" s="77"/>
      <c r="B2" s="77"/>
      <c r="C2" s="79" t="s">
        <v>14</v>
      </c>
      <c r="D2" s="80"/>
      <c r="E2" s="80"/>
      <c r="F2" s="80"/>
      <c r="G2" s="81"/>
      <c r="H2" s="80"/>
      <c r="I2" s="80"/>
      <c r="J2" s="80"/>
    </row>
    <row r="3" ht="12.75" customHeight="1">
      <c r="A3" s="82" t="s">
        <v>29</v>
      </c>
      <c r="B3" s="77"/>
      <c r="C3" s="83"/>
      <c r="D3" s="82" t="s">
        <v>83</v>
      </c>
      <c r="E3" s="82" t="s">
        <v>84</v>
      </c>
      <c r="F3" s="82"/>
      <c r="G3" s="81"/>
      <c r="H3" s="80"/>
      <c r="I3" s="80"/>
      <c r="J3" s="80"/>
    </row>
    <row r="4" ht="12.75" customHeight="1">
      <c r="A4" s="80">
        <v>2022.0</v>
      </c>
      <c r="B4" s="84"/>
      <c r="C4" s="85">
        <f>'Rente 2022'!P9</f>
        <v>81255.11856</v>
      </c>
      <c r="D4" s="86">
        <f>'Rente 2022'!P20</f>
        <v>61486.20844</v>
      </c>
      <c r="E4" s="87">
        <f>'Rente 2022'!Q20</f>
        <v>5123.850703</v>
      </c>
      <c r="F4" s="87"/>
      <c r="G4" s="88" t="str">
        <f>'Rente 2022'!A22</f>
        <v>*) gem. Versicherungsausweis PK SG - 31.1.22</v>
      </c>
      <c r="H4" s="80"/>
      <c r="I4" s="80"/>
      <c r="J4" s="80"/>
    </row>
    <row r="5" ht="12.75" customHeight="1">
      <c r="A5" s="80">
        <v>2023.0</v>
      </c>
      <c r="B5" s="77"/>
      <c r="C5" s="85">
        <f>'Rente 2023'!P9</f>
        <v>82452.93</v>
      </c>
      <c r="D5" s="86">
        <f>'Rente 2023'!P20</f>
        <v>60288.397</v>
      </c>
      <c r="E5" s="87">
        <f>'Rente 2023'!Q20</f>
        <v>5024.033083</v>
      </c>
      <c r="F5" s="80"/>
      <c r="G5" s="88" t="str">
        <f>'Rente 2023'!A22</f>
        <v>*) gem. Versicherungsausweis PK SG – 31.1.2023</v>
      </c>
      <c r="H5" s="80"/>
      <c r="I5" s="80"/>
      <c r="J5" s="80"/>
    </row>
    <row r="6" ht="12.75" customHeight="1">
      <c r="A6" s="80">
        <v>2024.0</v>
      </c>
      <c r="B6" s="77"/>
      <c r="C6" s="85">
        <f>'Rente 2024'!R10</f>
        <v>98095.796</v>
      </c>
      <c r="D6" s="86">
        <f>'Rente 2024'!R21</f>
        <v>46774.831</v>
      </c>
      <c r="E6" s="87">
        <f>'Rente 2024'!S21</f>
        <v>3897.902583</v>
      </c>
      <c r="F6" s="80"/>
      <c r="G6" s="88" t="str">
        <f>'Rente 2024'!A23</f>
        <v>*) gem. Versicherungsausweis PK SG – 3.2.2025</v>
      </c>
      <c r="H6" s="80"/>
      <c r="I6" s="80"/>
      <c r="J6" s="80"/>
    </row>
    <row r="7" ht="12.75" customHeight="1">
      <c r="A7" s="80">
        <v>2025.0</v>
      </c>
      <c r="B7" s="77"/>
      <c r="C7" s="85"/>
      <c r="D7" s="89"/>
      <c r="E7" s="80"/>
      <c r="F7" s="80"/>
      <c r="G7" s="81"/>
      <c r="H7" s="80"/>
      <c r="I7" s="80"/>
      <c r="J7" s="80"/>
    </row>
    <row r="8" ht="12.75" customHeight="1">
      <c r="A8" s="80">
        <v>2026.0</v>
      </c>
      <c r="B8" s="77"/>
      <c r="C8" s="85"/>
      <c r="D8" s="89"/>
      <c r="E8" s="80"/>
      <c r="F8" s="80"/>
      <c r="G8" s="81"/>
      <c r="H8" s="80"/>
      <c r="I8" s="80"/>
      <c r="J8" s="80"/>
    </row>
    <row r="9" ht="12.75" customHeight="1">
      <c r="A9" s="80">
        <v>2027.0</v>
      </c>
      <c r="B9" s="77"/>
      <c r="C9" s="85"/>
      <c r="D9" s="89"/>
      <c r="E9" s="80"/>
      <c r="F9" s="80"/>
      <c r="G9" s="81"/>
      <c r="H9" s="80"/>
      <c r="I9" s="80"/>
      <c r="J9" s="80"/>
    </row>
    <row r="10" ht="12.75" customHeight="1">
      <c r="A10" s="80">
        <v>2028.0</v>
      </c>
      <c r="B10" s="77"/>
      <c r="C10" s="85"/>
      <c r="D10" s="89"/>
      <c r="E10" s="80"/>
      <c r="F10" s="80"/>
      <c r="G10" s="81"/>
      <c r="H10" s="80"/>
      <c r="I10" s="80"/>
      <c r="J10" s="80"/>
    </row>
    <row r="11" ht="12.75" customHeight="1">
      <c r="A11" s="80">
        <v>2029.0</v>
      </c>
      <c r="B11" s="77"/>
      <c r="C11" s="85"/>
      <c r="D11" s="89"/>
      <c r="E11" s="80"/>
      <c r="F11" s="80"/>
      <c r="G11" s="81"/>
      <c r="H11" s="80"/>
      <c r="I11" s="80"/>
      <c r="J11" s="80"/>
    </row>
    <row r="12" ht="12.75" customHeight="1">
      <c r="A12" s="80">
        <v>2030.0</v>
      </c>
      <c r="B12" s="77"/>
      <c r="C12" s="85">
        <v>101872.663788</v>
      </c>
      <c r="D12" s="86">
        <f>'Rente 2024'!M32</f>
        <v>38975</v>
      </c>
      <c r="E12" s="90">
        <f>D12/12</f>
        <v>3247.916667</v>
      </c>
      <c r="F12" s="80"/>
      <c r="G12" s="91" t="s">
        <v>85</v>
      </c>
      <c r="H12" s="80"/>
      <c r="I12" s="80"/>
      <c r="J12" s="80"/>
    </row>
    <row r="13" ht="12.75" customHeight="1">
      <c r="G13" s="78"/>
    </row>
    <row r="14" ht="12.75" customHeight="1">
      <c r="G14" s="78"/>
    </row>
    <row r="15" ht="12.75" customHeight="1">
      <c r="G15" s="78"/>
    </row>
    <row r="16" ht="12.75" customHeight="1">
      <c r="G16" s="78"/>
    </row>
    <row r="17" ht="12.75" customHeight="1">
      <c r="G17" s="78"/>
    </row>
    <row r="18" ht="12.75" customHeight="1">
      <c r="G18" s="78"/>
    </row>
    <row r="19" ht="12.75" customHeight="1">
      <c r="G19" s="78"/>
    </row>
    <row r="20" ht="12.75" customHeight="1">
      <c r="G20" s="78"/>
    </row>
    <row r="21" ht="12.75" customHeight="1">
      <c r="G21" s="78"/>
    </row>
    <row r="22" ht="12.75" customHeight="1">
      <c r="G22" s="78"/>
    </row>
    <row r="23" ht="12.75" customHeight="1">
      <c r="G23" s="78"/>
    </row>
    <row r="24" ht="12.75" customHeight="1">
      <c r="G24" s="78"/>
    </row>
    <row r="25" ht="12.75" customHeight="1">
      <c r="G25" s="78"/>
    </row>
    <row r="26" ht="12.75" customHeight="1">
      <c r="G26" s="78"/>
    </row>
    <row r="27" ht="12.75" customHeight="1">
      <c r="G27" s="78"/>
    </row>
    <row r="28" ht="12.75" customHeight="1">
      <c r="G28" s="78"/>
    </row>
    <row r="29" ht="12.75" customHeight="1">
      <c r="G29" s="78"/>
    </row>
    <row r="30" ht="12.75" customHeight="1">
      <c r="G30" s="78"/>
    </row>
    <row r="31" ht="12.75" customHeight="1">
      <c r="G31" s="78"/>
    </row>
    <row r="32" ht="12.75" customHeight="1">
      <c r="G32" s="78"/>
    </row>
    <row r="33" ht="12.75" customHeight="1">
      <c r="G33" s="78"/>
    </row>
    <row r="34" ht="12.75" customHeight="1">
      <c r="G34" s="78"/>
    </row>
    <row r="35" ht="12.75" customHeight="1">
      <c r="G35" s="78"/>
    </row>
    <row r="36" ht="12.75" customHeight="1">
      <c r="G36" s="78"/>
    </row>
    <row r="37" ht="12.75" customHeight="1">
      <c r="G37" s="78"/>
    </row>
    <row r="38" ht="12.75" customHeight="1">
      <c r="G38" s="78"/>
    </row>
    <row r="39" ht="12.75" customHeight="1">
      <c r="G39" s="78"/>
    </row>
    <row r="40" ht="12.75" customHeight="1">
      <c r="G40" s="78"/>
    </row>
    <row r="41" ht="12.75" customHeight="1">
      <c r="G41" s="78"/>
    </row>
    <row r="42" ht="12.75" customHeight="1">
      <c r="G42" s="78"/>
    </row>
    <row r="43" ht="12.75" customHeight="1">
      <c r="G43" s="78"/>
    </row>
    <row r="44" ht="12.75" customHeight="1">
      <c r="G44" s="78"/>
    </row>
    <row r="45" ht="12.75" customHeight="1">
      <c r="G45" s="78"/>
    </row>
    <row r="46" ht="12.75" customHeight="1">
      <c r="G46" s="78"/>
    </row>
    <row r="47" ht="12.75" customHeight="1">
      <c r="G47" s="78"/>
    </row>
    <row r="48" ht="12.75" customHeight="1">
      <c r="G48" s="78"/>
    </row>
    <row r="49" ht="12.75" customHeight="1">
      <c r="G49" s="78"/>
    </row>
    <row r="50" ht="12.75" customHeight="1">
      <c r="G50" s="78"/>
    </row>
    <row r="51" ht="12.75" customHeight="1">
      <c r="G51" s="78"/>
    </row>
    <row r="52" ht="12.75" customHeight="1">
      <c r="G52" s="78"/>
    </row>
    <row r="53" ht="12.75" customHeight="1">
      <c r="G53" s="78"/>
    </row>
    <row r="54" ht="12.75" customHeight="1">
      <c r="G54" s="78"/>
    </row>
    <row r="55" ht="12.75" customHeight="1">
      <c r="G55" s="78"/>
    </row>
    <row r="56" ht="12.75" customHeight="1">
      <c r="G56" s="78"/>
    </row>
    <row r="57" ht="12.75" customHeight="1">
      <c r="G57" s="78"/>
    </row>
    <row r="58" ht="12.75" customHeight="1">
      <c r="G58" s="78"/>
    </row>
    <row r="59" ht="12.75" customHeight="1">
      <c r="G59" s="78"/>
    </row>
    <row r="60" ht="12.75" customHeight="1">
      <c r="G60" s="78"/>
    </row>
    <row r="61" ht="12.75" customHeight="1">
      <c r="G61" s="78"/>
    </row>
    <row r="62" ht="12.75" customHeight="1">
      <c r="G62" s="78"/>
    </row>
    <row r="63" ht="12.75" customHeight="1">
      <c r="G63" s="78"/>
    </row>
    <row r="64" ht="12.75" customHeight="1">
      <c r="G64" s="78"/>
    </row>
    <row r="65" ht="12.75" customHeight="1">
      <c r="G65" s="78"/>
    </row>
    <row r="66" ht="12.75" customHeight="1">
      <c r="G66" s="78"/>
    </row>
    <row r="67" ht="12.75" customHeight="1">
      <c r="G67" s="78"/>
    </row>
    <row r="68" ht="12.75" customHeight="1">
      <c r="G68" s="78"/>
    </row>
    <row r="69" ht="12.75" customHeight="1">
      <c r="G69" s="78"/>
    </row>
    <row r="70" ht="12.75" customHeight="1">
      <c r="G70" s="78"/>
    </row>
    <row r="71" ht="12.75" customHeight="1">
      <c r="G71" s="78"/>
    </row>
    <row r="72" ht="12.75" customHeight="1">
      <c r="G72" s="78"/>
    </row>
    <row r="73" ht="12.75" customHeight="1">
      <c r="G73" s="78"/>
    </row>
    <row r="74" ht="12.75" customHeight="1">
      <c r="G74" s="78"/>
    </row>
    <row r="75" ht="12.75" customHeight="1">
      <c r="G75" s="78"/>
    </row>
    <row r="76" ht="12.75" customHeight="1">
      <c r="G76" s="78"/>
    </row>
    <row r="77" ht="12.75" customHeight="1">
      <c r="G77" s="78"/>
    </row>
    <row r="78" ht="12.75" customHeight="1">
      <c r="G78" s="78"/>
    </row>
    <row r="79" ht="12.75" customHeight="1">
      <c r="G79" s="78"/>
    </row>
    <row r="80" ht="12.75" customHeight="1">
      <c r="G80" s="78"/>
    </row>
    <row r="81" ht="12.75" customHeight="1">
      <c r="G81" s="78"/>
    </row>
    <row r="82" ht="12.75" customHeight="1">
      <c r="G82" s="78"/>
    </row>
    <row r="83" ht="12.75" customHeight="1">
      <c r="G83" s="78"/>
    </row>
    <row r="84" ht="12.75" customHeight="1">
      <c r="G84" s="78"/>
    </row>
    <row r="85" ht="12.75" customHeight="1">
      <c r="G85" s="78"/>
    </row>
    <row r="86" ht="12.75" customHeight="1">
      <c r="G86" s="78"/>
    </row>
    <row r="87" ht="12.75" customHeight="1">
      <c r="G87" s="78"/>
    </row>
    <row r="88" ht="12.75" customHeight="1">
      <c r="G88" s="78"/>
    </row>
    <row r="89" ht="12.75" customHeight="1">
      <c r="G89" s="78"/>
    </row>
    <row r="90" ht="12.75" customHeight="1">
      <c r="G90" s="78"/>
    </row>
    <row r="91" ht="12.75" customHeight="1">
      <c r="G91" s="78"/>
    </row>
    <row r="92" ht="12.75" customHeight="1">
      <c r="G92" s="78"/>
    </row>
    <row r="93" ht="12.75" customHeight="1">
      <c r="G93" s="78"/>
    </row>
    <row r="94" ht="12.75" customHeight="1">
      <c r="G94" s="78"/>
    </row>
    <row r="95" ht="12.75" customHeight="1">
      <c r="G95" s="78"/>
    </row>
    <row r="96" ht="12.75" customHeight="1">
      <c r="G96" s="78"/>
    </row>
    <row r="97" ht="12.75" customHeight="1">
      <c r="G97" s="78"/>
    </row>
    <row r="98" ht="12.75" customHeight="1">
      <c r="G98" s="78"/>
    </row>
    <row r="99" ht="12.75" customHeight="1">
      <c r="G99" s="78"/>
    </row>
    <row r="100" ht="12.75" customHeight="1">
      <c r="G100" s="78"/>
    </row>
    <row r="101" ht="12.75" customHeight="1">
      <c r="G101" s="78"/>
    </row>
    <row r="102" ht="12.75" customHeight="1">
      <c r="G102" s="78"/>
    </row>
    <row r="103" ht="12.75" customHeight="1">
      <c r="G103" s="78"/>
    </row>
    <row r="104" ht="12.75" customHeight="1">
      <c r="G104" s="78"/>
    </row>
    <row r="105" ht="12.75" customHeight="1">
      <c r="G105" s="78"/>
    </row>
    <row r="106" ht="12.75" customHeight="1">
      <c r="G106" s="78"/>
    </row>
    <row r="107" ht="12.75" customHeight="1">
      <c r="G107" s="78"/>
    </row>
    <row r="108" ht="12.75" customHeight="1">
      <c r="G108" s="78"/>
    </row>
    <row r="109" ht="12.75" customHeight="1">
      <c r="G109" s="78"/>
    </row>
    <row r="110" ht="12.75" customHeight="1">
      <c r="G110" s="78"/>
    </row>
    <row r="111" ht="12.75" customHeight="1">
      <c r="G111" s="78"/>
    </row>
    <row r="112" ht="12.75" customHeight="1">
      <c r="G112" s="78"/>
    </row>
    <row r="113" ht="12.75" customHeight="1">
      <c r="G113" s="78"/>
    </row>
    <row r="114" ht="12.75" customHeight="1">
      <c r="G114" s="78"/>
    </row>
    <row r="115" ht="12.75" customHeight="1">
      <c r="G115" s="78"/>
    </row>
    <row r="116" ht="12.75" customHeight="1">
      <c r="G116" s="78"/>
    </row>
    <row r="117" ht="12.75" customHeight="1">
      <c r="G117" s="78"/>
    </row>
    <row r="118" ht="12.75" customHeight="1">
      <c r="G118" s="78"/>
    </row>
    <row r="119" ht="12.75" customHeight="1">
      <c r="G119" s="78"/>
    </row>
    <row r="120" ht="12.75" customHeight="1">
      <c r="G120" s="78"/>
    </row>
    <row r="121" ht="12.75" customHeight="1">
      <c r="G121" s="78"/>
    </row>
    <row r="122" ht="12.75" customHeight="1">
      <c r="G122" s="78"/>
    </row>
    <row r="123" ht="12.75" customHeight="1">
      <c r="G123" s="78"/>
    </row>
    <row r="124" ht="12.75" customHeight="1">
      <c r="G124" s="78"/>
    </row>
    <row r="125" ht="12.75" customHeight="1">
      <c r="G125" s="78"/>
    </row>
    <row r="126" ht="12.75" customHeight="1">
      <c r="G126" s="78"/>
    </row>
    <row r="127" ht="12.75" customHeight="1">
      <c r="G127" s="78"/>
    </row>
    <row r="128" ht="12.75" customHeight="1">
      <c r="G128" s="78"/>
    </row>
    <row r="129" ht="12.75" customHeight="1">
      <c r="G129" s="78"/>
    </row>
    <row r="130" ht="12.75" customHeight="1">
      <c r="G130" s="78"/>
    </row>
    <row r="131" ht="12.75" customHeight="1">
      <c r="G131" s="78"/>
    </row>
    <row r="132" ht="12.75" customHeight="1">
      <c r="G132" s="78"/>
    </row>
    <row r="133" ht="12.75" customHeight="1">
      <c r="G133" s="78"/>
    </row>
    <row r="134" ht="12.75" customHeight="1">
      <c r="G134" s="78"/>
    </row>
    <row r="135" ht="12.75" customHeight="1">
      <c r="G135" s="78"/>
    </row>
    <row r="136" ht="12.75" customHeight="1">
      <c r="G136" s="78"/>
    </row>
    <row r="137" ht="12.75" customHeight="1">
      <c r="G137" s="78"/>
    </row>
    <row r="138" ht="12.75" customHeight="1">
      <c r="G138" s="78"/>
    </row>
    <row r="139" ht="12.75" customHeight="1">
      <c r="G139" s="78"/>
    </row>
    <row r="140" ht="12.75" customHeight="1">
      <c r="G140" s="78"/>
    </row>
    <row r="141" ht="12.75" customHeight="1">
      <c r="G141" s="78"/>
    </row>
    <row r="142" ht="12.75" customHeight="1">
      <c r="G142" s="78"/>
    </row>
    <row r="143" ht="12.75" customHeight="1">
      <c r="G143" s="78"/>
    </row>
    <row r="144" ht="12.75" customHeight="1">
      <c r="G144" s="78"/>
    </row>
    <row r="145" ht="12.75" customHeight="1">
      <c r="G145" s="78"/>
    </row>
    <row r="146" ht="12.75" customHeight="1">
      <c r="G146" s="78"/>
    </row>
    <row r="147" ht="12.75" customHeight="1">
      <c r="G147" s="78"/>
    </row>
    <row r="148" ht="12.75" customHeight="1">
      <c r="G148" s="78"/>
    </row>
    <row r="149" ht="12.75" customHeight="1">
      <c r="G149" s="78"/>
    </row>
    <row r="150" ht="12.75" customHeight="1">
      <c r="G150" s="78"/>
    </row>
    <row r="151" ht="12.75" customHeight="1">
      <c r="G151" s="78"/>
    </row>
    <row r="152" ht="12.75" customHeight="1">
      <c r="G152" s="78"/>
    </row>
    <row r="153" ht="12.75" customHeight="1">
      <c r="G153" s="78"/>
    </row>
    <row r="154" ht="12.75" customHeight="1">
      <c r="G154" s="78"/>
    </row>
    <row r="155" ht="12.75" customHeight="1">
      <c r="G155" s="78"/>
    </row>
    <row r="156" ht="12.75" customHeight="1">
      <c r="G156" s="78"/>
    </row>
    <row r="157" ht="12.75" customHeight="1">
      <c r="G157" s="78"/>
    </row>
    <row r="158" ht="12.75" customHeight="1">
      <c r="G158" s="78"/>
    </row>
    <row r="159" ht="12.75" customHeight="1">
      <c r="G159" s="78"/>
    </row>
    <row r="160" ht="12.75" customHeight="1">
      <c r="G160" s="78"/>
    </row>
    <row r="161" ht="12.75" customHeight="1">
      <c r="G161" s="78"/>
    </row>
    <row r="162" ht="12.75" customHeight="1">
      <c r="G162" s="78"/>
    </row>
    <row r="163" ht="12.75" customHeight="1">
      <c r="G163" s="78"/>
    </row>
    <row r="164" ht="12.75" customHeight="1">
      <c r="G164" s="78"/>
    </row>
    <row r="165" ht="12.75" customHeight="1">
      <c r="G165" s="78"/>
    </row>
    <row r="166" ht="12.75" customHeight="1">
      <c r="G166" s="78"/>
    </row>
    <row r="167" ht="12.75" customHeight="1">
      <c r="G167" s="78"/>
    </row>
    <row r="168" ht="12.75" customHeight="1">
      <c r="G168" s="78"/>
    </row>
    <row r="169" ht="12.75" customHeight="1">
      <c r="G169" s="78"/>
    </row>
    <row r="170" ht="12.75" customHeight="1">
      <c r="G170" s="78"/>
    </row>
    <row r="171" ht="12.75" customHeight="1">
      <c r="G171" s="78"/>
    </row>
    <row r="172" ht="12.75" customHeight="1">
      <c r="G172" s="78"/>
    </row>
    <row r="173" ht="12.75" customHeight="1">
      <c r="G173" s="78"/>
    </row>
    <row r="174" ht="12.75" customHeight="1">
      <c r="G174" s="78"/>
    </row>
    <row r="175" ht="12.75" customHeight="1">
      <c r="G175" s="78"/>
    </row>
    <row r="176" ht="12.75" customHeight="1">
      <c r="G176" s="78"/>
    </row>
    <row r="177" ht="12.75" customHeight="1">
      <c r="G177" s="78"/>
    </row>
    <row r="178" ht="12.75" customHeight="1">
      <c r="G178" s="78"/>
    </row>
    <row r="179" ht="12.75" customHeight="1">
      <c r="G179" s="78"/>
    </row>
    <row r="180" ht="12.75" customHeight="1">
      <c r="G180" s="78"/>
    </row>
    <row r="181" ht="12.75" customHeight="1">
      <c r="G181" s="78"/>
    </row>
    <row r="182" ht="12.75" customHeight="1">
      <c r="G182" s="78"/>
    </row>
    <row r="183" ht="12.75" customHeight="1">
      <c r="G183" s="78"/>
    </row>
    <row r="184" ht="12.75" customHeight="1">
      <c r="G184" s="78"/>
    </row>
    <row r="185" ht="12.75" customHeight="1">
      <c r="G185" s="78"/>
    </row>
    <row r="186" ht="12.75" customHeight="1">
      <c r="G186" s="78"/>
    </row>
    <row r="187" ht="12.75" customHeight="1">
      <c r="G187" s="78"/>
    </row>
    <row r="188" ht="12.75" customHeight="1">
      <c r="G188" s="78"/>
    </row>
    <row r="189" ht="12.75" customHeight="1">
      <c r="G189" s="78"/>
    </row>
    <row r="190" ht="12.75" customHeight="1">
      <c r="G190" s="78"/>
    </row>
    <row r="191" ht="12.75" customHeight="1">
      <c r="G191" s="78"/>
    </row>
    <row r="192" ht="12.75" customHeight="1">
      <c r="G192" s="78"/>
    </row>
    <row r="193" ht="12.75" customHeight="1">
      <c r="G193" s="78"/>
    </row>
    <row r="194" ht="12.75" customHeight="1">
      <c r="G194" s="78"/>
    </row>
    <row r="195" ht="12.75" customHeight="1">
      <c r="G195" s="78"/>
    </row>
    <row r="196" ht="12.75" customHeight="1">
      <c r="G196" s="78"/>
    </row>
    <row r="197" ht="12.75" customHeight="1">
      <c r="G197" s="78"/>
    </row>
    <row r="198" ht="12.75" customHeight="1">
      <c r="G198" s="78"/>
    </row>
    <row r="199" ht="12.75" customHeight="1">
      <c r="G199" s="78"/>
    </row>
    <row r="200" ht="12.75" customHeight="1">
      <c r="G200" s="78"/>
    </row>
    <row r="201" ht="12.75" customHeight="1">
      <c r="G201" s="78"/>
    </row>
    <row r="202" ht="12.75" customHeight="1">
      <c r="G202" s="78"/>
    </row>
    <row r="203" ht="12.75" customHeight="1">
      <c r="G203" s="78"/>
    </row>
    <row r="204" ht="12.75" customHeight="1">
      <c r="G204" s="78"/>
    </row>
    <row r="205" ht="12.75" customHeight="1">
      <c r="G205" s="78"/>
    </row>
    <row r="206" ht="12.75" customHeight="1">
      <c r="G206" s="78"/>
    </row>
    <row r="207" ht="12.75" customHeight="1">
      <c r="G207" s="78"/>
    </row>
    <row r="208" ht="12.75" customHeight="1">
      <c r="G208" s="78"/>
    </row>
    <row r="209" ht="12.75" customHeight="1">
      <c r="G209" s="78"/>
    </row>
    <row r="210" ht="12.75" customHeight="1">
      <c r="G210" s="78"/>
    </row>
    <row r="211" ht="12.75" customHeight="1">
      <c r="G211" s="78"/>
    </row>
    <row r="212" ht="12.75" customHeight="1">
      <c r="G212" s="78"/>
    </row>
    <row r="213" ht="12.75" customHeight="1">
      <c r="G213" s="78"/>
    </row>
    <row r="214" ht="12.75" customHeight="1">
      <c r="G214" s="78"/>
    </row>
    <row r="215" ht="12.75" customHeight="1">
      <c r="G215" s="78"/>
    </row>
    <row r="216" ht="12.75" customHeight="1">
      <c r="G216" s="78"/>
    </row>
    <row r="217" ht="12.75" customHeight="1">
      <c r="G217" s="78"/>
    </row>
    <row r="218" ht="12.75" customHeight="1">
      <c r="G218" s="78"/>
    </row>
    <row r="219" ht="12.75" customHeight="1">
      <c r="G219" s="78"/>
    </row>
    <row r="220" ht="12.75" customHeight="1">
      <c r="G220" s="78"/>
    </row>
    <row r="221" ht="12.75" customHeight="1">
      <c r="G221" s="78"/>
    </row>
    <row r="222" ht="12.75" customHeight="1">
      <c r="G222" s="78"/>
    </row>
    <row r="223" ht="12.75" customHeight="1">
      <c r="G223" s="78"/>
    </row>
    <row r="224" ht="12.75" customHeight="1">
      <c r="G224" s="78"/>
    </row>
    <row r="225" ht="12.75" customHeight="1">
      <c r="G225" s="78"/>
    </row>
    <row r="226" ht="12.75" customHeight="1">
      <c r="G226" s="78"/>
    </row>
    <row r="227" ht="12.75" customHeight="1">
      <c r="G227" s="78"/>
    </row>
    <row r="228" ht="12.75" customHeight="1">
      <c r="G228" s="78"/>
    </row>
    <row r="229" ht="12.75" customHeight="1">
      <c r="G229" s="78"/>
    </row>
    <row r="230" ht="12.75" customHeight="1">
      <c r="G230" s="78"/>
    </row>
    <row r="231" ht="12.75" customHeight="1">
      <c r="G231" s="78"/>
    </row>
    <row r="232" ht="12.75" customHeight="1">
      <c r="G232" s="78"/>
    </row>
    <row r="233" ht="12.75" customHeight="1">
      <c r="G233" s="78"/>
    </row>
    <row r="234" ht="12.75" customHeight="1">
      <c r="G234" s="78"/>
    </row>
    <row r="235" ht="12.75" customHeight="1">
      <c r="G235" s="78"/>
    </row>
    <row r="236" ht="12.75" customHeight="1">
      <c r="G236" s="78"/>
    </row>
    <row r="237" ht="12.75" customHeight="1">
      <c r="G237" s="78"/>
    </row>
    <row r="238" ht="12.75" customHeight="1">
      <c r="G238" s="78"/>
    </row>
    <row r="239" ht="12.75" customHeight="1">
      <c r="G239" s="78"/>
    </row>
    <row r="240" ht="12.75" customHeight="1">
      <c r="G240" s="78"/>
    </row>
    <row r="241" ht="12.75" customHeight="1">
      <c r="G241" s="78"/>
    </row>
    <row r="242" ht="12.75" customHeight="1">
      <c r="G242" s="78"/>
    </row>
    <row r="243" ht="12.75" customHeight="1">
      <c r="G243" s="78"/>
    </row>
    <row r="244" ht="12.75" customHeight="1">
      <c r="G244" s="78"/>
    </row>
    <row r="245" ht="12.75" customHeight="1">
      <c r="G245" s="78"/>
    </row>
    <row r="246" ht="12.75" customHeight="1">
      <c r="G246" s="78"/>
    </row>
    <row r="247" ht="12.75" customHeight="1">
      <c r="G247" s="78"/>
    </row>
    <row r="248" ht="12.75" customHeight="1">
      <c r="G248" s="78"/>
    </row>
    <row r="249" ht="12.75" customHeight="1">
      <c r="G249" s="78"/>
    </row>
    <row r="250" ht="12.75" customHeight="1">
      <c r="G250" s="78"/>
    </row>
    <row r="251" ht="12.75" customHeight="1">
      <c r="G251" s="78"/>
    </row>
    <row r="252" ht="12.75" customHeight="1">
      <c r="G252" s="78"/>
    </row>
    <row r="253" ht="12.75" customHeight="1">
      <c r="G253" s="78"/>
    </row>
    <row r="254" ht="12.75" customHeight="1">
      <c r="G254" s="78"/>
    </row>
    <row r="255" ht="12.75" customHeight="1">
      <c r="G255" s="78"/>
    </row>
    <row r="256" ht="12.75" customHeight="1">
      <c r="G256" s="78"/>
    </row>
    <row r="257" ht="12.75" customHeight="1">
      <c r="G257" s="78"/>
    </row>
    <row r="258" ht="12.75" customHeight="1">
      <c r="G258" s="78"/>
    </row>
    <row r="259" ht="12.75" customHeight="1">
      <c r="G259" s="78"/>
    </row>
    <row r="260" ht="12.75" customHeight="1">
      <c r="G260" s="78"/>
    </row>
    <row r="261" ht="12.75" customHeight="1">
      <c r="G261" s="78"/>
    </row>
    <row r="262" ht="12.75" customHeight="1">
      <c r="G262" s="78"/>
    </row>
    <row r="263" ht="12.75" customHeight="1">
      <c r="G263" s="78"/>
    </row>
    <row r="264" ht="12.75" customHeight="1">
      <c r="G264" s="78"/>
    </row>
    <row r="265" ht="12.75" customHeight="1">
      <c r="G265" s="78"/>
    </row>
    <row r="266" ht="12.75" customHeight="1">
      <c r="G266" s="78"/>
    </row>
    <row r="267" ht="12.75" customHeight="1">
      <c r="G267" s="78"/>
    </row>
    <row r="268" ht="12.75" customHeight="1">
      <c r="G268" s="78"/>
    </row>
    <row r="269" ht="12.75" customHeight="1">
      <c r="G269" s="78"/>
    </row>
    <row r="270" ht="12.75" customHeight="1">
      <c r="G270" s="78"/>
    </row>
    <row r="271" ht="12.75" customHeight="1">
      <c r="G271" s="78"/>
    </row>
    <row r="272" ht="12.75" customHeight="1">
      <c r="G272" s="78"/>
    </row>
    <row r="273" ht="12.75" customHeight="1">
      <c r="G273" s="78"/>
    </row>
    <row r="274" ht="12.75" customHeight="1">
      <c r="G274" s="78"/>
    </row>
    <row r="275" ht="12.75" customHeight="1">
      <c r="G275" s="78"/>
    </row>
    <row r="276" ht="12.75" customHeight="1">
      <c r="G276" s="78"/>
    </row>
    <row r="277" ht="12.75" customHeight="1">
      <c r="G277" s="78"/>
    </row>
    <row r="278" ht="12.75" customHeight="1">
      <c r="G278" s="78"/>
    </row>
    <row r="279" ht="12.75" customHeight="1">
      <c r="G279" s="78"/>
    </row>
    <row r="280" ht="12.75" customHeight="1">
      <c r="G280" s="78"/>
    </row>
    <row r="281" ht="12.75" customHeight="1">
      <c r="G281" s="78"/>
    </row>
    <row r="282" ht="12.75" customHeight="1">
      <c r="G282" s="78"/>
    </row>
    <row r="283" ht="12.75" customHeight="1">
      <c r="G283" s="78"/>
    </row>
    <row r="284" ht="12.75" customHeight="1">
      <c r="G284" s="78"/>
    </row>
    <row r="285" ht="12.75" customHeight="1">
      <c r="G285" s="78"/>
    </row>
    <row r="286" ht="12.75" customHeight="1">
      <c r="G286" s="78"/>
    </row>
    <row r="287" ht="12.75" customHeight="1">
      <c r="G287" s="78"/>
    </row>
    <row r="288" ht="12.75" customHeight="1">
      <c r="G288" s="78"/>
    </row>
    <row r="289" ht="12.75" customHeight="1">
      <c r="G289" s="78"/>
    </row>
    <row r="290" ht="12.75" customHeight="1">
      <c r="G290" s="78"/>
    </row>
    <row r="291" ht="12.75" customHeight="1">
      <c r="G291" s="78"/>
    </row>
    <row r="292" ht="12.75" customHeight="1">
      <c r="G292" s="78"/>
    </row>
    <row r="293" ht="12.75" customHeight="1">
      <c r="G293" s="78"/>
    </row>
    <row r="294" ht="12.75" customHeight="1">
      <c r="G294" s="78"/>
    </row>
    <row r="295" ht="12.75" customHeight="1">
      <c r="G295" s="78"/>
    </row>
    <row r="296" ht="12.75" customHeight="1">
      <c r="G296" s="78"/>
    </row>
    <row r="297" ht="12.75" customHeight="1">
      <c r="G297" s="78"/>
    </row>
    <row r="298" ht="12.75" customHeight="1">
      <c r="G298" s="78"/>
    </row>
    <row r="299" ht="12.75" customHeight="1">
      <c r="G299" s="78"/>
    </row>
    <row r="300" ht="12.75" customHeight="1">
      <c r="G300" s="78"/>
    </row>
    <row r="301" ht="12.75" customHeight="1">
      <c r="G301" s="78"/>
    </row>
    <row r="302" ht="12.75" customHeight="1">
      <c r="G302" s="78"/>
    </row>
    <row r="303" ht="12.75" customHeight="1">
      <c r="G303" s="78"/>
    </row>
    <row r="304" ht="12.75" customHeight="1">
      <c r="G304" s="78"/>
    </row>
    <row r="305" ht="12.75" customHeight="1">
      <c r="G305" s="78"/>
    </row>
    <row r="306" ht="12.75" customHeight="1">
      <c r="G306" s="78"/>
    </row>
    <row r="307" ht="12.75" customHeight="1">
      <c r="G307" s="78"/>
    </row>
    <row r="308" ht="12.75" customHeight="1">
      <c r="G308" s="78"/>
    </row>
    <row r="309" ht="12.75" customHeight="1">
      <c r="G309" s="78"/>
    </row>
    <row r="310" ht="12.75" customHeight="1">
      <c r="G310" s="78"/>
    </row>
    <row r="311" ht="12.75" customHeight="1">
      <c r="G311" s="78"/>
    </row>
    <row r="312" ht="12.75" customHeight="1">
      <c r="G312" s="78"/>
    </row>
    <row r="313" ht="12.75" customHeight="1">
      <c r="G313" s="78"/>
    </row>
    <row r="314" ht="12.75" customHeight="1">
      <c r="G314" s="78"/>
    </row>
    <row r="315" ht="12.75" customHeight="1">
      <c r="G315" s="78"/>
    </row>
    <row r="316" ht="12.75" customHeight="1">
      <c r="G316" s="78"/>
    </row>
    <row r="317" ht="12.75" customHeight="1">
      <c r="G317" s="78"/>
    </row>
    <row r="318" ht="12.75" customHeight="1">
      <c r="G318" s="78"/>
    </row>
    <row r="319" ht="12.75" customHeight="1">
      <c r="G319" s="78"/>
    </row>
    <row r="320" ht="12.75" customHeight="1">
      <c r="G320" s="78"/>
    </row>
    <row r="321" ht="12.75" customHeight="1">
      <c r="G321" s="78"/>
    </row>
    <row r="322" ht="12.75" customHeight="1">
      <c r="G322" s="78"/>
    </row>
    <row r="323" ht="12.75" customHeight="1">
      <c r="G323" s="78"/>
    </row>
    <row r="324" ht="12.75" customHeight="1">
      <c r="G324" s="78"/>
    </row>
    <row r="325" ht="12.75" customHeight="1">
      <c r="G325" s="78"/>
    </row>
    <row r="326" ht="12.75" customHeight="1">
      <c r="G326" s="78"/>
    </row>
    <row r="327" ht="12.75" customHeight="1">
      <c r="G327" s="78"/>
    </row>
    <row r="328" ht="12.75" customHeight="1">
      <c r="G328" s="78"/>
    </row>
    <row r="329" ht="12.75" customHeight="1">
      <c r="G329" s="78"/>
    </row>
    <row r="330" ht="12.75" customHeight="1">
      <c r="G330" s="78"/>
    </row>
    <row r="331" ht="12.75" customHeight="1">
      <c r="G331" s="78"/>
    </row>
    <row r="332" ht="12.75" customHeight="1">
      <c r="G332" s="78"/>
    </row>
    <row r="333" ht="12.75" customHeight="1">
      <c r="G333" s="78"/>
    </row>
    <row r="334" ht="12.75" customHeight="1">
      <c r="G334" s="78"/>
    </row>
    <row r="335" ht="12.75" customHeight="1">
      <c r="G335" s="78"/>
    </row>
    <row r="336" ht="12.75" customHeight="1">
      <c r="G336" s="78"/>
    </row>
    <row r="337" ht="12.75" customHeight="1">
      <c r="G337" s="78"/>
    </row>
    <row r="338" ht="12.75" customHeight="1">
      <c r="G338" s="78"/>
    </row>
    <row r="339" ht="12.75" customHeight="1">
      <c r="G339" s="78"/>
    </row>
    <row r="340" ht="12.75" customHeight="1">
      <c r="G340" s="78"/>
    </row>
    <row r="341" ht="12.75" customHeight="1">
      <c r="G341" s="78"/>
    </row>
    <row r="342" ht="12.75" customHeight="1">
      <c r="G342" s="78"/>
    </row>
    <row r="343" ht="12.75" customHeight="1">
      <c r="G343" s="78"/>
    </row>
    <row r="344" ht="12.75" customHeight="1">
      <c r="G344" s="78"/>
    </row>
    <row r="345" ht="12.75" customHeight="1">
      <c r="G345" s="78"/>
    </row>
    <row r="346" ht="12.75" customHeight="1">
      <c r="G346" s="78"/>
    </row>
    <row r="347" ht="12.75" customHeight="1">
      <c r="G347" s="78"/>
    </row>
    <row r="348" ht="12.75" customHeight="1">
      <c r="G348" s="78"/>
    </row>
    <row r="349" ht="12.75" customHeight="1">
      <c r="G349" s="78"/>
    </row>
    <row r="350" ht="12.75" customHeight="1">
      <c r="G350" s="78"/>
    </row>
    <row r="351" ht="12.75" customHeight="1">
      <c r="G351" s="78"/>
    </row>
    <row r="352" ht="12.75" customHeight="1">
      <c r="G352" s="78"/>
    </row>
    <row r="353" ht="12.75" customHeight="1">
      <c r="G353" s="78"/>
    </row>
    <row r="354" ht="12.75" customHeight="1">
      <c r="G354" s="78"/>
    </row>
    <row r="355" ht="12.75" customHeight="1">
      <c r="G355" s="78"/>
    </row>
    <row r="356" ht="12.75" customHeight="1">
      <c r="G356" s="78"/>
    </row>
    <row r="357" ht="12.75" customHeight="1">
      <c r="G357" s="78"/>
    </row>
    <row r="358" ht="12.75" customHeight="1">
      <c r="G358" s="78"/>
    </row>
    <row r="359" ht="12.75" customHeight="1">
      <c r="G359" s="78"/>
    </row>
    <row r="360" ht="12.75" customHeight="1">
      <c r="G360" s="78"/>
    </row>
    <row r="361" ht="12.75" customHeight="1">
      <c r="G361" s="78"/>
    </row>
    <row r="362" ht="12.75" customHeight="1">
      <c r="G362" s="78"/>
    </row>
    <row r="363" ht="12.75" customHeight="1">
      <c r="G363" s="78"/>
    </row>
    <row r="364" ht="12.75" customHeight="1">
      <c r="G364" s="78"/>
    </row>
    <row r="365" ht="12.75" customHeight="1">
      <c r="G365" s="78"/>
    </row>
    <row r="366" ht="12.75" customHeight="1">
      <c r="G366" s="78"/>
    </row>
    <row r="367" ht="12.75" customHeight="1">
      <c r="G367" s="78"/>
    </row>
    <row r="368" ht="12.75" customHeight="1">
      <c r="G368" s="78"/>
    </row>
    <row r="369" ht="12.75" customHeight="1">
      <c r="G369" s="78"/>
    </row>
    <row r="370" ht="12.75" customHeight="1">
      <c r="G370" s="78"/>
    </row>
    <row r="371" ht="12.75" customHeight="1">
      <c r="G371" s="78"/>
    </row>
    <row r="372" ht="12.75" customHeight="1">
      <c r="G372" s="78"/>
    </row>
    <row r="373" ht="12.75" customHeight="1">
      <c r="G373" s="78"/>
    </row>
    <row r="374" ht="12.75" customHeight="1">
      <c r="G374" s="78"/>
    </row>
    <row r="375" ht="12.75" customHeight="1">
      <c r="G375" s="78"/>
    </row>
    <row r="376" ht="12.75" customHeight="1">
      <c r="G376" s="78"/>
    </row>
    <row r="377" ht="12.75" customHeight="1">
      <c r="G377" s="78"/>
    </row>
    <row r="378" ht="12.75" customHeight="1">
      <c r="G378" s="78"/>
    </row>
    <row r="379" ht="12.75" customHeight="1">
      <c r="G379" s="78"/>
    </row>
    <row r="380" ht="12.75" customHeight="1">
      <c r="G380" s="78"/>
    </row>
    <row r="381" ht="12.75" customHeight="1">
      <c r="G381" s="78"/>
    </row>
    <row r="382" ht="12.75" customHeight="1">
      <c r="G382" s="78"/>
    </row>
    <row r="383" ht="12.75" customHeight="1">
      <c r="G383" s="78"/>
    </row>
    <row r="384" ht="12.75" customHeight="1">
      <c r="G384" s="78"/>
    </row>
    <row r="385" ht="12.75" customHeight="1">
      <c r="G385" s="78"/>
    </row>
    <row r="386" ht="12.75" customHeight="1">
      <c r="G386" s="78"/>
    </row>
    <row r="387" ht="12.75" customHeight="1">
      <c r="G387" s="78"/>
    </row>
    <row r="388" ht="12.75" customHeight="1">
      <c r="G388" s="78"/>
    </row>
    <row r="389" ht="12.75" customHeight="1">
      <c r="G389" s="78"/>
    </row>
    <row r="390" ht="12.75" customHeight="1">
      <c r="G390" s="78"/>
    </row>
    <row r="391" ht="12.75" customHeight="1">
      <c r="G391" s="78"/>
    </row>
    <row r="392" ht="12.75" customHeight="1">
      <c r="G392" s="78"/>
    </row>
    <row r="393" ht="12.75" customHeight="1">
      <c r="G393" s="78"/>
    </row>
    <row r="394" ht="12.75" customHeight="1">
      <c r="G394" s="78"/>
    </row>
    <row r="395" ht="12.75" customHeight="1">
      <c r="G395" s="78"/>
    </row>
    <row r="396" ht="12.75" customHeight="1">
      <c r="G396" s="78"/>
    </row>
    <row r="397" ht="12.75" customHeight="1">
      <c r="G397" s="78"/>
    </row>
    <row r="398" ht="12.75" customHeight="1">
      <c r="G398" s="78"/>
    </row>
    <row r="399" ht="12.75" customHeight="1">
      <c r="G399" s="78"/>
    </row>
    <row r="400" ht="12.75" customHeight="1">
      <c r="G400" s="78"/>
    </row>
    <row r="401" ht="12.75" customHeight="1">
      <c r="G401" s="78"/>
    </row>
    <row r="402" ht="12.75" customHeight="1">
      <c r="G402" s="78"/>
    </row>
    <row r="403" ht="12.75" customHeight="1">
      <c r="G403" s="78"/>
    </row>
    <row r="404" ht="12.75" customHeight="1">
      <c r="G404" s="78"/>
    </row>
    <row r="405" ht="12.75" customHeight="1">
      <c r="G405" s="78"/>
    </row>
    <row r="406" ht="12.75" customHeight="1">
      <c r="G406" s="78"/>
    </row>
    <row r="407" ht="12.75" customHeight="1">
      <c r="G407" s="78"/>
    </row>
    <row r="408" ht="12.75" customHeight="1">
      <c r="G408" s="78"/>
    </row>
    <row r="409" ht="12.75" customHeight="1">
      <c r="G409" s="78"/>
    </row>
    <row r="410" ht="12.75" customHeight="1">
      <c r="G410" s="78"/>
    </row>
    <row r="411" ht="12.75" customHeight="1">
      <c r="G411" s="78"/>
    </row>
    <row r="412" ht="12.75" customHeight="1">
      <c r="G412" s="78"/>
    </row>
    <row r="413" ht="12.75" customHeight="1">
      <c r="G413" s="78"/>
    </row>
    <row r="414" ht="12.75" customHeight="1">
      <c r="G414" s="78"/>
    </row>
    <row r="415" ht="12.75" customHeight="1">
      <c r="G415" s="78"/>
    </row>
    <row r="416" ht="12.75" customHeight="1">
      <c r="G416" s="78"/>
    </row>
    <row r="417" ht="12.75" customHeight="1">
      <c r="G417" s="78"/>
    </row>
    <row r="418" ht="12.75" customHeight="1">
      <c r="G418" s="78"/>
    </row>
    <row r="419" ht="12.75" customHeight="1">
      <c r="G419" s="78"/>
    </row>
    <row r="420" ht="12.75" customHeight="1">
      <c r="G420" s="78"/>
    </row>
    <row r="421" ht="12.75" customHeight="1">
      <c r="G421" s="78"/>
    </row>
    <row r="422" ht="12.75" customHeight="1">
      <c r="G422" s="78"/>
    </row>
    <row r="423" ht="12.75" customHeight="1">
      <c r="G423" s="78"/>
    </row>
    <row r="424" ht="12.75" customHeight="1">
      <c r="G424" s="78"/>
    </row>
    <row r="425" ht="12.75" customHeight="1">
      <c r="G425" s="78"/>
    </row>
    <row r="426" ht="12.75" customHeight="1">
      <c r="G426" s="78"/>
    </row>
    <row r="427" ht="12.75" customHeight="1">
      <c r="G427" s="78"/>
    </row>
    <row r="428" ht="12.75" customHeight="1">
      <c r="G428" s="78"/>
    </row>
    <row r="429" ht="12.75" customHeight="1">
      <c r="G429" s="78"/>
    </row>
    <row r="430" ht="12.75" customHeight="1">
      <c r="G430" s="78"/>
    </row>
    <row r="431" ht="12.75" customHeight="1">
      <c r="G431" s="78"/>
    </row>
    <row r="432" ht="12.75" customHeight="1">
      <c r="G432" s="78"/>
    </row>
    <row r="433" ht="12.75" customHeight="1">
      <c r="G433" s="78"/>
    </row>
    <row r="434" ht="12.75" customHeight="1">
      <c r="G434" s="78"/>
    </row>
    <row r="435" ht="12.75" customHeight="1">
      <c r="G435" s="78"/>
    </row>
    <row r="436" ht="12.75" customHeight="1">
      <c r="G436" s="78"/>
    </row>
    <row r="437" ht="12.75" customHeight="1">
      <c r="G437" s="78"/>
    </row>
    <row r="438" ht="12.75" customHeight="1">
      <c r="G438" s="78"/>
    </row>
    <row r="439" ht="12.75" customHeight="1">
      <c r="G439" s="78"/>
    </row>
    <row r="440" ht="12.75" customHeight="1">
      <c r="G440" s="78"/>
    </row>
    <row r="441" ht="12.75" customHeight="1">
      <c r="G441" s="78"/>
    </row>
    <row r="442" ht="12.75" customHeight="1">
      <c r="G442" s="78"/>
    </row>
    <row r="443" ht="12.75" customHeight="1">
      <c r="G443" s="78"/>
    </row>
    <row r="444" ht="12.75" customHeight="1">
      <c r="G444" s="78"/>
    </row>
    <row r="445" ht="12.75" customHeight="1">
      <c r="G445" s="78"/>
    </row>
    <row r="446" ht="12.75" customHeight="1">
      <c r="G446" s="78"/>
    </row>
    <row r="447" ht="12.75" customHeight="1">
      <c r="G447" s="78"/>
    </row>
    <row r="448" ht="12.75" customHeight="1">
      <c r="G448" s="78"/>
    </row>
    <row r="449" ht="12.75" customHeight="1">
      <c r="G449" s="78"/>
    </row>
    <row r="450" ht="12.75" customHeight="1">
      <c r="G450" s="78"/>
    </row>
    <row r="451" ht="12.75" customHeight="1">
      <c r="G451" s="78"/>
    </row>
    <row r="452" ht="12.75" customHeight="1">
      <c r="G452" s="78"/>
    </row>
    <row r="453" ht="12.75" customHeight="1">
      <c r="G453" s="78"/>
    </row>
    <row r="454" ht="12.75" customHeight="1">
      <c r="G454" s="78"/>
    </row>
    <row r="455" ht="12.75" customHeight="1">
      <c r="G455" s="78"/>
    </row>
    <row r="456" ht="12.75" customHeight="1">
      <c r="G456" s="78"/>
    </row>
    <row r="457" ht="12.75" customHeight="1">
      <c r="G457" s="78"/>
    </row>
    <row r="458" ht="12.75" customHeight="1">
      <c r="G458" s="78"/>
    </row>
    <row r="459" ht="12.75" customHeight="1">
      <c r="G459" s="78"/>
    </row>
    <row r="460" ht="12.75" customHeight="1">
      <c r="G460" s="78"/>
    </row>
    <row r="461" ht="12.75" customHeight="1">
      <c r="G461" s="78"/>
    </row>
    <row r="462" ht="12.75" customHeight="1">
      <c r="G462" s="78"/>
    </row>
    <row r="463" ht="12.75" customHeight="1">
      <c r="G463" s="78"/>
    </row>
    <row r="464" ht="12.75" customHeight="1">
      <c r="G464" s="78"/>
    </row>
    <row r="465" ht="12.75" customHeight="1">
      <c r="G465" s="78"/>
    </row>
    <row r="466" ht="12.75" customHeight="1">
      <c r="G466" s="78"/>
    </row>
    <row r="467" ht="12.75" customHeight="1">
      <c r="G467" s="78"/>
    </row>
    <row r="468" ht="12.75" customHeight="1">
      <c r="G468" s="78"/>
    </row>
    <row r="469" ht="12.75" customHeight="1">
      <c r="G469" s="78"/>
    </row>
    <row r="470" ht="12.75" customHeight="1">
      <c r="G470" s="78"/>
    </row>
    <row r="471" ht="12.75" customHeight="1">
      <c r="G471" s="78"/>
    </row>
    <row r="472" ht="12.75" customHeight="1">
      <c r="G472" s="78"/>
    </row>
    <row r="473" ht="12.75" customHeight="1">
      <c r="G473" s="78"/>
    </row>
    <row r="474" ht="12.75" customHeight="1">
      <c r="G474" s="78"/>
    </row>
    <row r="475" ht="12.75" customHeight="1">
      <c r="G475" s="78"/>
    </row>
    <row r="476" ht="12.75" customHeight="1">
      <c r="G476" s="78"/>
    </row>
    <row r="477" ht="12.75" customHeight="1">
      <c r="G477" s="78"/>
    </row>
    <row r="478" ht="12.75" customHeight="1">
      <c r="G478" s="78"/>
    </row>
    <row r="479" ht="12.75" customHeight="1">
      <c r="G479" s="78"/>
    </row>
    <row r="480" ht="12.75" customHeight="1">
      <c r="G480" s="78"/>
    </row>
    <row r="481" ht="12.75" customHeight="1">
      <c r="G481" s="78"/>
    </row>
    <row r="482" ht="12.75" customHeight="1">
      <c r="G482" s="78"/>
    </row>
    <row r="483" ht="12.75" customHeight="1">
      <c r="G483" s="78"/>
    </row>
    <row r="484" ht="12.75" customHeight="1">
      <c r="G484" s="78"/>
    </row>
    <row r="485" ht="12.75" customHeight="1">
      <c r="G485" s="78"/>
    </row>
    <row r="486" ht="12.75" customHeight="1">
      <c r="G486" s="78"/>
    </row>
    <row r="487" ht="12.75" customHeight="1">
      <c r="G487" s="78"/>
    </row>
    <row r="488" ht="12.75" customHeight="1">
      <c r="G488" s="78"/>
    </row>
    <row r="489" ht="12.75" customHeight="1">
      <c r="G489" s="78"/>
    </row>
    <row r="490" ht="12.75" customHeight="1">
      <c r="G490" s="78"/>
    </row>
    <row r="491" ht="12.75" customHeight="1">
      <c r="G491" s="78"/>
    </row>
    <row r="492" ht="12.75" customHeight="1">
      <c r="G492" s="78"/>
    </row>
    <row r="493" ht="12.75" customHeight="1">
      <c r="G493" s="78"/>
    </row>
    <row r="494" ht="12.75" customHeight="1">
      <c r="G494" s="78"/>
    </row>
    <row r="495" ht="12.75" customHeight="1">
      <c r="G495" s="78"/>
    </row>
    <row r="496" ht="12.75" customHeight="1">
      <c r="G496" s="78"/>
    </row>
    <row r="497" ht="12.75" customHeight="1">
      <c r="G497" s="78"/>
    </row>
    <row r="498" ht="12.75" customHeight="1">
      <c r="G498" s="78"/>
    </row>
    <row r="499" ht="12.75" customHeight="1">
      <c r="G499" s="78"/>
    </row>
    <row r="500" ht="12.75" customHeight="1">
      <c r="G500" s="78"/>
    </row>
    <row r="501" ht="12.75" customHeight="1">
      <c r="G501" s="78"/>
    </row>
    <row r="502" ht="12.75" customHeight="1">
      <c r="G502" s="78"/>
    </row>
    <row r="503" ht="12.75" customHeight="1">
      <c r="G503" s="78"/>
    </row>
    <row r="504" ht="12.75" customHeight="1">
      <c r="G504" s="78"/>
    </row>
    <row r="505" ht="12.75" customHeight="1">
      <c r="G505" s="78"/>
    </row>
    <row r="506" ht="12.75" customHeight="1">
      <c r="G506" s="78"/>
    </row>
    <row r="507" ht="12.75" customHeight="1">
      <c r="G507" s="78"/>
    </row>
    <row r="508" ht="12.75" customHeight="1">
      <c r="G508" s="78"/>
    </row>
    <row r="509" ht="12.75" customHeight="1">
      <c r="G509" s="78"/>
    </row>
    <row r="510" ht="12.75" customHeight="1">
      <c r="G510" s="78"/>
    </row>
    <row r="511" ht="12.75" customHeight="1">
      <c r="G511" s="78"/>
    </row>
    <row r="512" ht="12.75" customHeight="1">
      <c r="G512" s="78"/>
    </row>
    <row r="513" ht="12.75" customHeight="1">
      <c r="G513" s="78"/>
    </row>
    <row r="514" ht="12.75" customHeight="1">
      <c r="G514" s="78"/>
    </row>
    <row r="515" ht="12.75" customHeight="1">
      <c r="G515" s="78"/>
    </row>
    <row r="516" ht="12.75" customHeight="1">
      <c r="G516" s="78"/>
    </row>
    <row r="517" ht="12.75" customHeight="1">
      <c r="G517" s="78"/>
    </row>
    <row r="518" ht="12.75" customHeight="1">
      <c r="G518" s="78"/>
    </row>
    <row r="519" ht="12.75" customHeight="1">
      <c r="G519" s="78"/>
    </row>
    <row r="520" ht="12.75" customHeight="1">
      <c r="G520" s="78"/>
    </row>
    <row r="521" ht="12.75" customHeight="1">
      <c r="G521" s="78"/>
    </row>
    <row r="522" ht="12.75" customHeight="1">
      <c r="G522" s="78"/>
    </row>
    <row r="523" ht="12.75" customHeight="1">
      <c r="G523" s="78"/>
    </row>
    <row r="524" ht="12.75" customHeight="1">
      <c r="G524" s="78"/>
    </row>
    <row r="525" ht="12.75" customHeight="1">
      <c r="G525" s="78"/>
    </row>
    <row r="526" ht="12.75" customHeight="1">
      <c r="G526" s="78"/>
    </row>
    <row r="527" ht="12.75" customHeight="1">
      <c r="G527" s="78"/>
    </row>
    <row r="528" ht="12.75" customHeight="1">
      <c r="G528" s="78"/>
    </row>
    <row r="529" ht="12.75" customHeight="1">
      <c r="G529" s="78"/>
    </row>
    <row r="530" ht="12.75" customHeight="1">
      <c r="G530" s="78"/>
    </row>
    <row r="531" ht="12.75" customHeight="1">
      <c r="G531" s="78"/>
    </row>
    <row r="532" ht="12.75" customHeight="1">
      <c r="G532" s="78"/>
    </row>
    <row r="533" ht="12.75" customHeight="1">
      <c r="G533" s="78"/>
    </row>
    <row r="534" ht="12.75" customHeight="1">
      <c r="G534" s="78"/>
    </row>
    <row r="535" ht="12.75" customHeight="1">
      <c r="G535" s="78"/>
    </row>
    <row r="536" ht="12.75" customHeight="1">
      <c r="G536" s="78"/>
    </row>
    <row r="537" ht="12.75" customHeight="1">
      <c r="G537" s="78"/>
    </row>
    <row r="538" ht="12.75" customHeight="1">
      <c r="G538" s="78"/>
    </row>
    <row r="539" ht="12.75" customHeight="1">
      <c r="G539" s="78"/>
    </row>
    <row r="540" ht="12.75" customHeight="1">
      <c r="G540" s="78"/>
    </row>
    <row r="541" ht="12.75" customHeight="1">
      <c r="G541" s="78"/>
    </row>
    <row r="542" ht="12.75" customHeight="1">
      <c r="G542" s="78"/>
    </row>
    <row r="543" ht="12.75" customHeight="1">
      <c r="G543" s="78"/>
    </row>
    <row r="544" ht="12.75" customHeight="1">
      <c r="G544" s="78"/>
    </row>
    <row r="545" ht="12.75" customHeight="1">
      <c r="G545" s="78"/>
    </row>
    <row r="546" ht="12.75" customHeight="1">
      <c r="G546" s="78"/>
    </row>
    <row r="547" ht="12.75" customHeight="1">
      <c r="G547" s="78"/>
    </row>
    <row r="548" ht="12.75" customHeight="1">
      <c r="G548" s="78"/>
    </row>
    <row r="549" ht="12.75" customHeight="1">
      <c r="G549" s="78"/>
    </row>
    <row r="550" ht="12.75" customHeight="1">
      <c r="G550" s="78"/>
    </row>
    <row r="551" ht="12.75" customHeight="1">
      <c r="G551" s="78"/>
    </row>
    <row r="552" ht="12.75" customHeight="1">
      <c r="G552" s="78"/>
    </row>
    <row r="553" ht="12.75" customHeight="1">
      <c r="G553" s="78"/>
    </row>
    <row r="554" ht="12.75" customHeight="1">
      <c r="G554" s="78"/>
    </row>
    <row r="555" ht="12.75" customHeight="1">
      <c r="G555" s="78"/>
    </row>
    <row r="556" ht="12.75" customHeight="1">
      <c r="G556" s="78"/>
    </row>
    <row r="557" ht="12.75" customHeight="1">
      <c r="G557" s="78"/>
    </row>
    <row r="558" ht="12.75" customHeight="1">
      <c r="G558" s="78"/>
    </row>
    <row r="559" ht="12.75" customHeight="1">
      <c r="G559" s="78"/>
    </row>
    <row r="560" ht="12.75" customHeight="1">
      <c r="G560" s="78"/>
    </row>
    <row r="561" ht="12.75" customHeight="1">
      <c r="G561" s="78"/>
    </row>
    <row r="562" ht="12.75" customHeight="1">
      <c r="G562" s="78"/>
    </row>
    <row r="563" ht="12.75" customHeight="1">
      <c r="G563" s="78"/>
    </row>
    <row r="564" ht="12.75" customHeight="1">
      <c r="G564" s="78"/>
    </row>
    <row r="565" ht="12.75" customHeight="1">
      <c r="G565" s="78"/>
    </row>
    <row r="566" ht="12.75" customHeight="1">
      <c r="G566" s="78"/>
    </row>
    <row r="567" ht="12.75" customHeight="1">
      <c r="G567" s="78"/>
    </row>
    <row r="568" ht="12.75" customHeight="1">
      <c r="G568" s="78"/>
    </row>
    <row r="569" ht="12.75" customHeight="1">
      <c r="G569" s="78"/>
    </row>
    <row r="570" ht="12.75" customHeight="1">
      <c r="G570" s="78"/>
    </row>
    <row r="571" ht="12.75" customHeight="1">
      <c r="G571" s="78"/>
    </row>
    <row r="572" ht="12.75" customHeight="1">
      <c r="G572" s="78"/>
    </row>
    <row r="573" ht="12.75" customHeight="1">
      <c r="G573" s="78"/>
    </row>
    <row r="574" ht="12.75" customHeight="1">
      <c r="G574" s="78"/>
    </row>
    <row r="575" ht="12.75" customHeight="1">
      <c r="G575" s="78"/>
    </row>
    <row r="576" ht="12.75" customHeight="1">
      <c r="G576" s="78"/>
    </row>
    <row r="577" ht="12.75" customHeight="1">
      <c r="G577" s="78"/>
    </row>
    <row r="578" ht="12.75" customHeight="1">
      <c r="G578" s="78"/>
    </row>
    <row r="579" ht="12.75" customHeight="1">
      <c r="G579" s="78"/>
    </row>
    <row r="580" ht="12.75" customHeight="1">
      <c r="G580" s="78"/>
    </row>
    <row r="581" ht="12.75" customHeight="1">
      <c r="G581" s="78"/>
    </row>
    <row r="582" ht="12.75" customHeight="1">
      <c r="G582" s="78"/>
    </row>
    <row r="583" ht="12.75" customHeight="1">
      <c r="G583" s="78"/>
    </row>
    <row r="584" ht="12.75" customHeight="1">
      <c r="G584" s="78"/>
    </row>
    <row r="585" ht="12.75" customHeight="1">
      <c r="G585" s="78"/>
    </row>
    <row r="586" ht="12.75" customHeight="1">
      <c r="G586" s="78"/>
    </row>
    <row r="587" ht="12.75" customHeight="1">
      <c r="G587" s="78"/>
    </row>
    <row r="588" ht="12.75" customHeight="1">
      <c r="G588" s="78"/>
    </row>
    <row r="589" ht="12.75" customHeight="1">
      <c r="G589" s="78"/>
    </row>
    <row r="590" ht="12.75" customHeight="1">
      <c r="G590" s="78"/>
    </row>
    <row r="591" ht="12.75" customHeight="1">
      <c r="G591" s="78"/>
    </row>
    <row r="592" ht="12.75" customHeight="1">
      <c r="G592" s="78"/>
    </row>
    <row r="593" ht="12.75" customHeight="1">
      <c r="G593" s="78"/>
    </row>
    <row r="594" ht="12.75" customHeight="1">
      <c r="G594" s="78"/>
    </row>
    <row r="595" ht="12.75" customHeight="1">
      <c r="G595" s="78"/>
    </row>
    <row r="596" ht="12.75" customHeight="1">
      <c r="G596" s="78"/>
    </row>
    <row r="597" ht="12.75" customHeight="1">
      <c r="G597" s="78"/>
    </row>
    <row r="598" ht="12.75" customHeight="1">
      <c r="G598" s="78"/>
    </row>
    <row r="599" ht="12.75" customHeight="1">
      <c r="G599" s="78"/>
    </row>
    <row r="600" ht="12.75" customHeight="1">
      <c r="G600" s="78"/>
    </row>
    <row r="601" ht="12.75" customHeight="1">
      <c r="G601" s="78"/>
    </row>
    <row r="602" ht="12.75" customHeight="1">
      <c r="G602" s="78"/>
    </row>
    <row r="603" ht="12.75" customHeight="1">
      <c r="G603" s="78"/>
    </row>
    <row r="604" ht="12.75" customHeight="1">
      <c r="G604" s="78"/>
    </row>
    <row r="605" ht="12.75" customHeight="1">
      <c r="G605" s="78"/>
    </row>
    <row r="606" ht="12.75" customHeight="1">
      <c r="G606" s="78"/>
    </row>
    <row r="607" ht="12.75" customHeight="1">
      <c r="G607" s="78"/>
    </row>
    <row r="608" ht="12.75" customHeight="1">
      <c r="G608" s="78"/>
    </row>
    <row r="609" ht="12.75" customHeight="1">
      <c r="G609" s="78"/>
    </row>
    <row r="610" ht="12.75" customHeight="1">
      <c r="G610" s="78"/>
    </row>
    <row r="611" ht="12.75" customHeight="1">
      <c r="G611" s="78"/>
    </row>
    <row r="612" ht="12.75" customHeight="1">
      <c r="G612" s="78"/>
    </row>
    <row r="613" ht="12.75" customHeight="1">
      <c r="G613" s="78"/>
    </row>
    <row r="614" ht="12.75" customHeight="1">
      <c r="G614" s="78"/>
    </row>
    <row r="615" ht="12.75" customHeight="1">
      <c r="G615" s="78"/>
    </row>
    <row r="616" ht="12.75" customHeight="1">
      <c r="G616" s="78"/>
    </row>
    <row r="617" ht="12.75" customHeight="1">
      <c r="G617" s="78"/>
    </row>
    <row r="618" ht="12.75" customHeight="1">
      <c r="G618" s="78"/>
    </row>
    <row r="619" ht="12.75" customHeight="1">
      <c r="G619" s="78"/>
    </row>
    <row r="620" ht="12.75" customHeight="1">
      <c r="G620" s="78"/>
    </row>
    <row r="621" ht="12.75" customHeight="1">
      <c r="G621" s="78"/>
    </row>
    <row r="622" ht="12.75" customHeight="1">
      <c r="G622" s="78"/>
    </row>
    <row r="623" ht="12.75" customHeight="1">
      <c r="G623" s="78"/>
    </row>
    <row r="624" ht="12.75" customHeight="1">
      <c r="G624" s="78"/>
    </row>
    <row r="625" ht="12.75" customHeight="1">
      <c r="G625" s="78"/>
    </row>
    <row r="626" ht="12.75" customHeight="1">
      <c r="G626" s="78"/>
    </row>
    <row r="627" ht="12.75" customHeight="1">
      <c r="G627" s="78"/>
    </row>
    <row r="628" ht="12.75" customHeight="1">
      <c r="G628" s="78"/>
    </row>
    <row r="629" ht="12.75" customHeight="1">
      <c r="G629" s="78"/>
    </row>
    <row r="630" ht="12.75" customHeight="1">
      <c r="G630" s="78"/>
    </row>
    <row r="631" ht="12.75" customHeight="1">
      <c r="G631" s="78"/>
    </row>
    <row r="632" ht="12.75" customHeight="1">
      <c r="G632" s="78"/>
    </row>
    <row r="633" ht="12.75" customHeight="1">
      <c r="G633" s="78"/>
    </row>
    <row r="634" ht="12.75" customHeight="1">
      <c r="G634" s="78"/>
    </row>
    <row r="635" ht="12.75" customHeight="1">
      <c r="G635" s="78"/>
    </row>
    <row r="636" ht="12.75" customHeight="1">
      <c r="G636" s="78"/>
    </row>
    <row r="637" ht="12.75" customHeight="1">
      <c r="G637" s="78"/>
    </row>
    <row r="638" ht="12.75" customHeight="1">
      <c r="G638" s="78"/>
    </row>
    <row r="639" ht="12.75" customHeight="1">
      <c r="G639" s="78"/>
    </row>
    <row r="640" ht="12.75" customHeight="1">
      <c r="G640" s="78"/>
    </row>
    <row r="641" ht="12.75" customHeight="1">
      <c r="G641" s="78"/>
    </row>
    <row r="642" ht="12.75" customHeight="1">
      <c r="G642" s="78"/>
    </row>
    <row r="643" ht="12.75" customHeight="1">
      <c r="G643" s="78"/>
    </row>
    <row r="644" ht="12.75" customHeight="1">
      <c r="G644" s="78"/>
    </row>
    <row r="645" ht="12.75" customHeight="1">
      <c r="G645" s="78"/>
    </row>
    <row r="646" ht="12.75" customHeight="1">
      <c r="G646" s="78"/>
    </row>
    <row r="647" ht="12.75" customHeight="1">
      <c r="G647" s="78"/>
    </row>
    <row r="648" ht="12.75" customHeight="1">
      <c r="G648" s="78"/>
    </row>
    <row r="649" ht="12.75" customHeight="1">
      <c r="G649" s="78"/>
    </row>
    <row r="650" ht="12.75" customHeight="1">
      <c r="G650" s="78"/>
    </row>
    <row r="651" ht="12.75" customHeight="1">
      <c r="G651" s="78"/>
    </row>
    <row r="652" ht="12.75" customHeight="1">
      <c r="G652" s="78"/>
    </row>
    <row r="653" ht="12.75" customHeight="1">
      <c r="G653" s="78"/>
    </row>
    <row r="654" ht="12.75" customHeight="1">
      <c r="G654" s="78"/>
    </row>
    <row r="655" ht="12.75" customHeight="1">
      <c r="G655" s="78"/>
    </row>
    <row r="656" ht="12.75" customHeight="1">
      <c r="G656" s="78"/>
    </row>
    <row r="657" ht="12.75" customHeight="1">
      <c r="G657" s="78"/>
    </row>
    <row r="658" ht="12.75" customHeight="1">
      <c r="G658" s="78"/>
    </row>
    <row r="659" ht="12.75" customHeight="1">
      <c r="G659" s="78"/>
    </row>
    <row r="660" ht="12.75" customHeight="1">
      <c r="G660" s="78"/>
    </row>
    <row r="661" ht="12.75" customHeight="1">
      <c r="G661" s="78"/>
    </row>
    <row r="662" ht="12.75" customHeight="1">
      <c r="G662" s="78"/>
    </row>
    <row r="663" ht="12.75" customHeight="1">
      <c r="G663" s="78"/>
    </row>
    <row r="664" ht="12.75" customHeight="1">
      <c r="G664" s="78"/>
    </row>
    <row r="665" ht="12.75" customHeight="1">
      <c r="G665" s="78"/>
    </row>
    <row r="666" ht="12.75" customHeight="1">
      <c r="G666" s="78"/>
    </row>
    <row r="667" ht="12.75" customHeight="1">
      <c r="G667" s="78"/>
    </row>
    <row r="668" ht="12.75" customHeight="1">
      <c r="G668" s="78"/>
    </row>
    <row r="669" ht="12.75" customHeight="1">
      <c r="G669" s="78"/>
    </row>
    <row r="670" ht="12.75" customHeight="1">
      <c r="G670" s="78"/>
    </row>
    <row r="671" ht="12.75" customHeight="1">
      <c r="G671" s="78"/>
    </row>
    <row r="672" ht="12.75" customHeight="1">
      <c r="G672" s="78"/>
    </row>
    <row r="673" ht="12.75" customHeight="1">
      <c r="G673" s="78"/>
    </row>
    <row r="674" ht="12.75" customHeight="1">
      <c r="G674" s="78"/>
    </row>
    <row r="675" ht="12.75" customHeight="1">
      <c r="G675" s="78"/>
    </row>
    <row r="676" ht="12.75" customHeight="1">
      <c r="G676" s="78"/>
    </row>
    <row r="677" ht="12.75" customHeight="1">
      <c r="G677" s="78"/>
    </row>
    <row r="678" ht="12.75" customHeight="1">
      <c r="G678" s="78"/>
    </row>
    <row r="679" ht="12.75" customHeight="1">
      <c r="G679" s="78"/>
    </row>
    <row r="680" ht="12.75" customHeight="1">
      <c r="G680" s="78"/>
    </row>
    <row r="681" ht="12.75" customHeight="1">
      <c r="G681" s="78"/>
    </row>
    <row r="682" ht="12.75" customHeight="1">
      <c r="G682" s="78"/>
    </row>
    <row r="683" ht="12.75" customHeight="1">
      <c r="G683" s="78"/>
    </row>
    <row r="684" ht="12.75" customHeight="1">
      <c r="G684" s="78"/>
    </row>
    <row r="685" ht="12.75" customHeight="1">
      <c r="G685" s="78"/>
    </row>
    <row r="686" ht="12.75" customHeight="1">
      <c r="G686" s="78"/>
    </row>
    <row r="687" ht="12.75" customHeight="1">
      <c r="G687" s="78"/>
    </row>
    <row r="688" ht="12.75" customHeight="1">
      <c r="G688" s="78"/>
    </row>
    <row r="689" ht="12.75" customHeight="1">
      <c r="G689" s="78"/>
    </row>
    <row r="690" ht="12.75" customHeight="1">
      <c r="G690" s="78"/>
    </row>
    <row r="691" ht="12.75" customHeight="1">
      <c r="G691" s="78"/>
    </row>
    <row r="692" ht="12.75" customHeight="1">
      <c r="G692" s="78"/>
    </row>
    <row r="693" ht="12.75" customHeight="1">
      <c r="G693" s="78"/>
    </row>
    <row r="694" ht="12.75" customHeight="1">
      <c r="G694" s="78"/>
    </row>
    <row r="695" ht="12.75" customHeight="1">
      <c r="G695" s="78"/>
    </row>
    <row r="696" ht="12.75" customHeight="1">
      <c r="G696" s="78"/>
    </row>
    <row r="697" ht="12.75" customHeight="1">
      <c r="G697" s="78"/>
    </row>
    <row r="698" ht="12.75" customHeight="1">
      <c r="G698" s="78"/>
    </row>
    <row r="699" ht="12.75" customHeight="1">
      <c r="G699" s="78"/>
    </row>
    <row r="700" ht="12.75" customHeight="1">
      <c r="G700" s="78"/>
    </row>
    <row r="701" ht="12.75" customHeight="1">
      <c r="G701" s="78"/>
    </row>
    <row r="702" ht="12.75" customHeight="1">
      <c r="G702" s="78"/>
    </row>
    <row r="703" ht="12.75" customHeight="1">
      <c r="G703" s="78"/>
    </row>
    <row r="704" ht="12.75" customHeight="1">
      <c r="G704" s="78"/>
    </row>
    <row r="705" ht="12.75" customHeight="1">
      <c r="G705" s="78"/>
    </row>
    <row r="706" ht="12.75" customHeight="1">
      <c r="G706" s="78"/>
    </row>
    <row r="707" ht="12.75" customHeight="1">
      <c r="G707" s="78"/>
    </row>
    <row r="708" ht="12.75" customHeight="1">
      <c r="G708" s="78"/>
    </row>
    <row r="709" ht="12.75" customHeight="1">
      <c r="G709" s="78"/>
    </row>
    <row r="710" ht="12.75" customHeight="1">
      <c r="G710" s="78"/>
    </row>
    <row r="711" ht="12.75" customHeight="1">
      <c r="G711" s="78"/>
    </row>
    <row r="712" ht="12.75" customHeight="1">
      <c r="G712" s="78"/>
    </row>
    <row r="713" ht="12.75" customHeight="1">
      <c r="G713" s="78"/>
    </row>
    <row r="714" ht="12.75" customHeight="1">
      <c r="G714" s="78"/>
    </row>
    <row r="715" ht="12.75" customHeight="1">
      <c r="G715" s="78"/>
    </row>
    <row r="716" ht="12.75" customHeight="1">
      <c r="G716" s="78"/>
    </row>
    <row r="717" ht="12.75" customHeight="1">
      <c r="G717" s="78"/>
    </row>
    <row r="718" ht="12.75" customHeight="1">
      <c r="G718" s="78"/>
    </row>
    <row r="719" ht="12.75" customHeight="1">
      <c r="G719" s="78"/>
    </row>
    <row r="720" ht="12.75" customHeight="1">
      <c r="G720" s="78"/>
    </row>
    <row r="721" ht="12.75" customHeight="1">
      <c r="G721" s="78"/>
    </row>
    <row r="722" ht="12.75" customHeight="1">
      <c r="G722" s="78"/>
    </row>
    <row r="723" ht="12.75" customHeight="1">
      <c r="G723" s="78"/>
    </row>
    <row r="724" ht="12.75" customHeight="1">
      <c r="G724" s="78"/>
    </row>
    <row r="725" ht="12.75" customHeight="1">
      <c r="G725" s="78"/>
    </row>
    <row r="726" ht="12.75" customHeight="1">
      <c r="G726" s="78"/>
    </row>
    <row r="727" ht="12.75" customHeight="1">
      <c r="G727" s="78"/>
    </row>
    <row r="728" ht="12.75" customHeight="1">
      <c r="G728" s="78"/>
    </row>
    <row r="729" ht="12.75" customHeight="1">
      <c r="G729" s="78"/>
    </row>
    <row r="730" ht="12.75" customHeight="1">
      <c r="G730" s="78"/>
    </row>
    <row r="731" ht="12.75" customHeight="1">
      <c r="G731" s="78"/>
    </row>
    <row r="732" ht="12.75" customHeight="1">
      <c r="G732" s="78"/>
    </row>
    <row r="733" ht="12.75" customHeight="1">
      <c r="G733" s="78"/>
    </row>
    <row r="734" ht="12.75" customHeight="1">
      <c r="G734" s="78"/>
    </row>
    <row r="735" ht="12.75" customHeight="1">
      <c r="G735" s="78"/>
    </row>
    <row r="736" ht="12.75" customHeight="1">
      <c r="G736" s="78"/>
    </row>
    <row r="737" ht="12.75" customHeight="1">
      <c r="G737" s="78"/>
    </row>
    <row r="738" ht="12.75" customHeight="1">
      <c r="G738" s="78"/>
    </row>
    <row r="739" ht="12.75" customHeight="1">
      <c r="G739" s="78"/>
    </row>
    <row r="740" ht="12.75" customHeight="1">
      <c r="G740" s="78"/>
    </row>
    <row r="741" ht="12.75" customHeight="1">
      <c r="G741" s="78"/>
    </row>
    <row r="742" ht="12.75" customHeight="1">
      <c r="G742" s="78"/>
    </row>
    <row r="743" ht="12.75" customHeight="1">
      <c r="G743" s="78"/>
    </row>
    <row r="744" ht="12.75" customHeight="1">
      <c r="G744" s="78"/>
    </row>
    <row r="745" ht="12.75" customHeight="1">
      <c r="G745" s="78"/>
    </row>
    <row r="746" ht="12.75" customHeight="1">
      <c r="G746" s="78"/>
    </row>
    <row r="747" ht="12.75" customHeight="1">
      <c r="G747" s="78"/>
    </row>
    <row r="748" ht="12.75" customHeight="1">
      <c r="G748" s="78"/>
    </row>
    <row r="749" ht="12.75" customHeight="1">
      <c r="G749" s="78"/>
    </row>
    <row r="750" ht="12.75" customHeight="1">
      <c r="G750" s="78"/>
    </row>
    <row r="751" ht="12.75" customHeight="1">
      <c r="G751" s="78"/>
    </row>
    <row r="752" ht="12.75" customHeight="1">
      <c r="G752" s="78"/>
    </row>
    <row r="753" ht="12.75" customHeight="1">
      <c r="G753" s="78"/>
    </row>
    <row r="754" ht="12.75" customHeight="1">
      <c r="G754" s="78"/>
    </row>
    <row r="755" ht="12.75" customHeight="1">
      <c r="G755" s="78"/>
    </row>
    <row r="756" ht="12.75" customHeight="1">
      <c r="G756" s="78"/>
    </row>
    <row r="757" ht="12.75" customHeight="1">
      <c r="G757" s="78"/>
    </row>
    <row r="758" ht="12.75" customHeight="1">
      <c r="G758" s="78"/>
    </row>
    <row r="759" ht="12.75" customHeight="1">
      <c r="G759" s="78"/>
    </row>
    <row r="760" ht="12.75" customHeight="1">
      <c r="G760" s="78"/>
    </row>
    <row r="761" ht="12.75" customHeight="1">
      <c r="G761" s="78"/>
    </row>
    <row r="762" ht="12.75" customHeight="1">
      <c r="G762" s="78"/>
    </row>
    <row r="763" ht="12.75" customHeight="1">
      <c r="G763" s="78"/>
    </row>
    <row r="764" ht="12.75" customHeight="1">
      <c r="G764" s="78"/>
    </row>
    <row r="765" ht="12.75" customHeight="1">
      <c r="G765" s="78"/>
    </row>
    <row r="766" ht="12.75" customHeight="1">
      <c r="G766" s="78"/>
    </row>
    <row r="767" ht="12.75" customHeight="1">
      <c r="G767" s="78"/>
    </row>
    <row r="768" ht="12.75" customHeight="1">
      <c r="G768" s="78"/>
    </row>
    <row r="769" ht="12.75" customHeight="1">
      <c r="G769" s="78"/>
    </row>
    <row r="770" ht="12.75" customHeight="1">
      <c r="G770" s="78"/>
    </row>
    <row r="771" ht="12.75" customHeight="1">
      <c r="G771" s="78"/>
    </row>
    <row r="772" ht="12.75" customHeight="1">
      <c r="G772" s="78"/>
    </row>
    <row r="773" ht="12.75" customHeight="1">
      <c r="G773" s="78"/>
    </row>
    <row r="774" ht="12.75" customHeight="1">
      <c r="G774" s="78"/>
    </row>
    <row r="775" ht="12.75" customHeight="1">
      <c r="G775" s="78"/>
    </row>
    <row r="776" ht="12.75" customHeight="1">
      <c r="G776" s="78"/>
    </row>
    <row r="777" ht="12.75" customHeight="1">
      <c r="G777" s="78"/>
    </row>
    <row r="778" ht="12.75" customHeight="1">
      <c r="G778" s="78"/>
    </row>
    <row r="779" ht="12.75" customHeight="1">
      <c r="G779" s="78"/>
    </row>
    <row r="780" ht="12.75" customHeight="1">
      <c r="G780" s="78"/>
    </row>
    <row r="781" ht="12.75" customHeight="1">
      <c r="G781" s="78"/>
    </row>
    <row r="782" ht="12.75" customHeight="1">
      <c r="G782" s="78"/>
    </row>
    <row r="783" ht="12.75" customHeight="1">
      <c r="G783" s="78"/>
    </row>
    <row r="784" ht="12.75" customHeight="1">
      <c r="G784" s="78"/>
    </row>
    <row r="785" ht="12.75" customHeight="1">
      <c r="G785" s="78"/>
    </row>
    <row r="786" ht="12.75" customHeight="1">
      <c r="G786" s="78"/>
    </row>
    <row r="787" ht="12.75" customHeight="1">
      <c r="G787" s="78"/>
    </row>
    <row r="788" ht="12.75" customHeight="1">
      <c r="G788" s="78"/>
    </row>
    <row r="789" ht="12.75" customHeight="1">
      <c r="G789" s="78"/>
    </row>
    <row r="790" ht="12.75" customHeight="1">
      <c r="G790" s="78"/>
    </row>
    <row r="791" ht="12.75" customHeight="1">
      <c r="G791" s="78"/>
    </row>
    <row r="792" ht="12.75" customHeight="1">
      <c r="G792" s="78"/>
    </row>
    <row r="793" ht="12.75" customHeight="1">
      <c r="G793" s="78"/>
    </row>
    <row r="794" ht="12.75" customHeight="1">
      <c r="G794" s="78"/>
    </row>
    <row r="795" ht="12.75" customHeight="1">
      <c r="G795" s="78"/>
    </row>
    <row r="796" ht="12.75" customHeight="1">
      <c r="G796" s="78"/>
    </row>
    <row r="797" ht="12.75" customHeight="1">
      <c r="G797" s="78"/>
    </row>
    <row r="798" ht="12.75" customHeight="1">
      <c r="G798" s="78"/>
    </row>
    <row r="799" ht="12.75" customHeight="1">
      <c r="G799" s="78"/>
    </row>
    <row r="800" ht="12.75" customHeight="1">
      <c r="G800" s="78"/>
    </row>
    <row r="801" ht="12.75" customHeight="1">
      <c r="G801" s="78"/>
    </row>
    <row r="802" ht="12.75" customHeight="1">
      <c r="G802" s="78"/>
    </row>
    <row r="803" ht="12.75" customHeight="1">
      <c r="G803" s="78"/>
    </row>
    <row r="804" ht="12.75" customHeight="1">
      <c r="G804" s="78"/>
    </row>
    <row r="805" ht="12.75" customHeight="1">
      <c r="G805" s="78"/>
    </row>
    <row r="806" ht="12.75" customHeight="1">
      <c r="G806" s="78"/>
    </row>
    <row r="807" ht="12.75" customHeight="1">
      <c r="G807" s="78"/>
    </row>
    <row r="808" ht="12.75" customHeight="1">
      <c r="G808" s="78"/>
    </row>
    <row r="809" ht="12.75" customHeight="1">
      <c r="G809" s="78"/>
    </row>
    <row r="810" ht="12.75" customHeight="1">
      <c r="G810" s="78"/>
    </row>
    <row r="811" ht="12.75" customHeight="1">
      <c r="G811" s="78"/>
    </row>
    <row r="812" ht="12.75" customHeight="1">
      <c r="G812" s="78"/>
    </row>
    <row r="813" ht="12.75" customHeight="1">
      <c r="G813" s="78"/>
    </row>
    <row r="814" ht="12.75" customHeight="1">
      <c r="G814" s="78"/>
    </row>
    <row r="815" ht="12.75" customHeight="1">
      <c r="G815" s="78"/>
    </row>
    <row r="816" ht="12.75" customHeight="1">
      <c r="G816" s="78"/>
    </row>
    <row r="817" ht="12.75" customHeight="1">
      <c r="G817" s="78"/>
    </row>
    <row r="818" ht="12.75" customHeight="1">
      <c r="G818" s="78"/>
    </row>
    <row r="819" ht="12.75" customHeight="1">
      <c r="G819" s="78"/>
    </row>
    <row r="820" ht="12.75" customHeight="1">
      <c r="G820" s="78"/>
    </row>
    <row r="821" ht="12.75" customHeight="1">
      <c r="G821" s="78"/>
    </row>
    <row r="822" ht="12.75" customHeight="1">
      <c r="G822" s="78"/>
    </row>
    <row r="823" ht="12.75" customHeight="1">
      <c r="G823" s="78"/>
    </row>
    <row r="824" ht="12.75" customHeight="1">
      <c r="G824" s="78"/>
    </row>
    <row r="825" ht="12.75" customHeight="1">
      <c r="G825" s="78"/>
    </row>
    <row r="826" ht="12.75" customHeight="1">
      <c r="G826" s="78"/>
    </row>
    <row r="827" ht="12.75" customHeight="1">
      <c r="G827" s="78"/>
    </row>
    <row r="828" ht="12.75" customHeight="1">
      <c r="G828" s="78"/>
    </row>
    <row r="829" ht="12.75" customHeight="1">
      <c r="G829" s="78"/>
    </row>
    <row r="830" ht="12.75" customHeight="1">
      <c r="G830" s="78"/>
    </row>
    <row r="831" ht="12.75" customHeight="1">
      <c r="G831" s="78"/>
    </row>
    <row r="832" ht="12.75" customHeight="1">
      <c r="G832" s="78"/>
    </row>
    <row r="833" ht="12.75" customHeight="1">
      <c r="G833" s="78"/>
    </row>
    <row r="834" ht="12.75" customHeight="1">
      <c r="G834" s="78"/>
    </row>
    <row r="835" ht="12.75" customHeight="1">
      <c r="G835" s="78"/>
    </row>
    <row r="836" ht="12.75" customHeight="1">
      <c r="G836" s="78"/>
    </row>
    <row r="837" ht="12.75" customHeight="1">
      <c r="G837" s="78"/>
    </row>
    <row r="838" ht="12.75" customHeight="1">
      <c r="G838" s="78"/>
    </row>
    <row r="839" ht="12.75" customHeight="1">
      <c r="G839" s="78"/>
    </row>
    <row r="840" ht="12.75" customHeight="1">
      <c r="G840" s="78"/>
    </row>
    <row r="841" ht="12.75" customHeight="1">
      <c r="G841" s="78"/>
    </row>
    <row r="842" ht="12.75" customHeight="1">
      <c r="G842" s="78"/>
    </row>
    <row r="843" ht="12.75" customHeight="1">
      <c r="G843" s="78"/>
    </row>
    <row r="844" ht="12.75" customHeight="1">
      <c r="G844" s="78"/>
    </row>
    <row r="845" ht="12.75" customHeight="1">
      <c r="G845" s="78"/>
    </row>
    <row r="846" ht="12.75" customHeight="1">
      <c r="G846" s="78"/>
    </row>
    <row r="847" ht="12.75" customHeight="1">
      <c r="G847" s="78"/>
    </row>
    <row r="848" ht="12.75" customHeight="1">
      <c r="G848" s="78"/>
    </row>
    <row r="849" ht="12.75" customHeight="1">
      <c r="G849" s="78"/>
    </row>
    <row r="850" ht="12.75" customHeight="1">
      <c r="G850" s="78"/>
    </row>
    <row r="851" ht="12.75" customHeight="1">
      <c r="G851" s="78"/>
    </row>
    <row r="852" ht="12.75" customHeight="1">
      <c r="G852" s="78"/>
    </row>
    <row r="853" ht="12.75" customHeight="1">
      <c r="G853" s="78"/>
    </row>
    <row r="854" ht="12.75" customHeight="1">
      <c r="G854" s="78"/>
    </row>
    <row r="855" ht="12.75" customHeight="1">
      <c r="G855" s="78"/>
    </row>
    <row r="856" ht="12.75" customHeight="1">
      <c r="G856" s="78"/>
    </row>
    <row r="857" ht="12.75" customHeight="1">
      <c r="G857" s="78"/>
    </row>
    <row r="858" ht="12.75" customHeight="1">
      <c r="G858" s="78"/>
    </row>
    <row r="859" ht="12.75" customHeight="1">
      <c r="G859" s="78"/>
    </row>
    <row r="860" ht="12.75" customHeight="1">
      <c r="G860" s="78"/>
    </row>
    <row r="861" ht="12.75" customHeight="1">
      <c r="G861" s="78"/>
    </row>
    <row r="862" ht="12.75" customHeight="1">
      <c r="G862" s="78"/>
    </row>
    <row r="863" ht="12.75" customHeight="1">
      <c r="G863" s="78"/>
    </row>
    <row r="864" ht="12.75" customHeight="1">
      <c r="G864" s="78"/>
    </row>
    <row r="865" ht="12.75" customHeight="1">
      <c r="G865" s="78"/>
    </row>
    <row r="866" ht="12.75" customHeight="1">
      <c r="G866" s="78"/>
    </row>
    <row r="867" ht="12.75" customHeight="1">
      <c r="G867" s="78"/>
    </row>
    <row r="868" ht="12.75" customHeight="1">
      <c r="G868" s="78"/>
    </row>
    <row r="869" ht="12.75" customHeight="1">
      <c r="G869" s="78"/>
    </row>
    <row r="870" ht="12.75" customHeight="1">
      <c r="G870" s="78"/>
    </row>
    <row r="871" ht="12.75" customHeight="1">
      <c r="G871" s="78"/>
    </row>
    <row r="872" ht="12.75" customHeight="1">
      <c r="G872" s="78"/>
    </row>
    <row r="873" ht="12.75" customHeight="1">
      <c r="G873" s="78"/>
    </row>
    <row r="874" ht="12.75" customHeight="1">
      <c r="G874" s="78"/>
    </row>
    <row r="875" ht="12.75" customHeight="1">
      <c r="G875" s="78"/>
    </row>
    <row r="876" ht="12.75" customHeight="1">
      <c r="G876" s="78"/>
    </row>
    <row r="877" ht="12.75" customHeight="1">
      <c r="G877" s="78"/>
    </row>
    <row r="878" ht="12.75" customHeight="1">
      <c r="G878" s="78"/>
    </row>
    <row r="879" ht="12.75" customHeight="1">
      <c r="G879" s="78"/>
    </row>
    <row r="880" ht="12.75" customHeight="1">
      <c r="G880" s="78"/>
    </row>
    <row r="881" ht="12.75" customHeight="1">
      <c r="G881" s="78"/>
    </row>
    <row r="882" ht="12.75" customHeight="1">
      <c r="G882" s="78"/>
    </row>
    <row r="883" ht="12.75" customHeight="1">
      <c r="G883" s="78"/>
    </row>
    <row r="884" ht="12.75" customHeight="1">
      <c r="G884" s="78"/>
    </row>
    <row r="885" ht="12.75" customHeight="1">
      <c r="G885" s="78"/>
    </row>
    <row r="886" ht="12.75" customHeight="1">
      <c r="G886" s="78"/>
    </row>
    <row r="887" ht="12.75" customHeight="1">
      <c r="G887" s="78"/>
    </row>
    <row r="888" ht="12.75" customHeight="1">
      <c r="G888" s="78"/>
    </row>
    <row r="889" ht="12.75" customHeight="1">
      <c r="G889" s="78"/>
    </row>
    <row r="890" ht="12.75" customHeight="1">
      <c r="G890" s="78"/>
    </row>
    <row r="891" ht="12.75" customHeight="1">
      <c r="G891" s="78"/>
    </row>
    <row r="892" ht="12.75" customHeight="1">
      <c r="G892" s="78"/>
    </row>
    <row r="893" ht="12.75" customHeight="1">
      <c r="G893" s="78"/>
    </row>
    <row r="894" ht="12.75" customHeight="1">
      <c r="G894" s="78"/>
    </row>
    <row r="895" ht="12.75" customHeight="1">
      <c r="G895" s="78"/>
    </row>
    <row r="896" ht="12.75" customHeight="1">
      <c r="G896" s="78"/>
    </row>
    <row r="897" ht="12.75" customHeight="1">
      <c r="G897" s="78"/>
    </row>
    <row r="898" ht="12.75" customHeight="1">
      <c r="G898" s="78"/>
    </row>
    <row r="899" ht="12.75" customHeight="1">
      <c r="G899" s="78"/>
    </row>
    <row r="900" ht="12.75" customHeight="1">
      <c r="G900" s="78"/>
    </row>
    <row r="901" ht="12.75" customHeight="1">
      <c r="G901" s="78"/>
    </row>
    <row r="902" ht="12.75" customHeight="1">
      <c r="G902" s="78"/>
    </row>
    <row r="903" ht="12.75" customHeight="1">
      <c r="G903" s="78"/>
    </row>
    <row r="904" ht="12.75" customHeight="1">
      <c r="G904" s="78"/>
    </row>
    <row r="905" ht="12.75" customHeight="1">
      <c r="G905" s="78"/>
    </row>
    <row r="906" ht="12.75" customHeight="1">
      <c r="G906" s="78"/>
    </row>
    <row r="907" ht="12.75" customHeight="1">
      <c r="G907" s="78"/>
    </row>
    <row r="908" ht="12.75" customHeight="1">
      <c r="G908" s="78"/>
    </row>
    <row r="909" ht="12.75" customHeight="1">
      <c r="G909" s="78"/>
    </row>
    <row r="910" ht="12.75" customHeight="1">
      <c r="G910" s="78"/>
    </row>
    <row r="911" ht="12.75" customHeight="1">
      <c r="G911" s="78"/>
    </row>
    <row r="912" ht="12.75" customHeight="1">
      <c r="G912" s="78"/>
    </row>
    <row r="913" ht="12.75" customHeight="1">
      <c r="G913" s="78"/>
    </row>
    <row r="914" ht="12.75" customHeight="1">
      <c r="G914" s="78"/>
    </row>
    <row r="915" ht="12.75" customHeight="1">
      <c r="G915" s="78"/>
    </row>
    <row r="916" ht="12.75" customHeight="1">
      <c r="G916" s="78"/>
    </row>
    <row r="917" ht="12.75" customHeight="1">
      <c r="G917" s="78"/>
    </row>
    <row r="918" ht="12.75" customHeight="1">
      <c r="G918" s="78"/>
    </row>
    <row r="919" ht="12.75" customHeight="1">
      <c r="G919" s="78"/>
    </row>
    <row r="920" ht="12.75" customHeight="1">
      <c r="G920" s="78"/>
    </row>
    <row r="921" ht="12.75" customHeight="1">
      <c r="G921" s="78"/>
    </row>
    <row r="922" ht="12.75" customHeight="1">
      <c r="G922" s="78"/>
    </row>
    <row r="923" ht="12.75" customHeight="1">
      <c r="G923" s="78"/>
    </row>
    <row r="924" ht="12.75" customHeight="1">
      <c r="G924" s="78"/>
    </row>
    <row r="925" ht="12.75" customHeight="1">
      <c r="G925" s="78"/>
    </row>
    <row r="926" ht="12.75" customHeight="1">
      <c r="G926" s="78"/>
    </row>
    <row r="927" ht="12.75" customHeight="1">
      <c r="G927" s="78"/>
    </row>
    <row r="928" ht="12.75" customHeight="1">
      <c r="G928" s="78"/>
    </row>
    <row r="929" ht="12.75" customHeight="1">
      <c r="G929" s="78"/>
    </row>
    <row r="930" ht="12.75" customHeight="1">
      <c r="G930" s="78"/>
    </row>
    <row r="931" ht="12.75" customHeight="1">
      <c r="G931" s="78"/>
    </row>
    <row r="932" ht="12.75" customHeight="1">
      <c r="G932" s="78"/>
    </row>
    <row r="933" ht="12.75" customHeight="1">
      <c r="G933" s="78"/>
    </row>
    <row r="934" ht="12.75" customHeight="1">
      <c r="G934" s="78"/>
    </row>
    <row r="935" ht="12.75" customHeight="1">
      <c r="G935" s="78"/>
    </row>
    <row r="936" ht="12.75" customHeight="1">
      <c r="G936" s="78"/>
    </row>
    <row r="937" ht="12.75" customHeight="1">
      <c r="G937" s="78"/>
    </row>
    <row r="938" ht="12.75" customHeight="1">
      <c r="G938" s="78"/>
    </row>
    <row r="939" ht="12.75" customHeight="1">
      <c r="G939" s="78"/>
    </row>
    <row r="940" ht="12.75" customHeight="1">
      <c r="G940" s="78"/>
    </row>
    <row r="941" ht="12.75" customHeight="1">
      <c r="G941" s="78"/>
    </row>
    <row r="942" ht="12.75" customHeight="1">
      <c r="G942" s="78"/>
    </row>
    <row r="943" ht="12.75" customHeight="1">
      <c r="G943" s="78"/>
    </row>
    <row r="944" ht="12.75" customHeight="1">
      <c r="G944" s="78"/>
    </row>
    <row r="945" ht="12.75" customHeight="1">
      <c r="G945" s="78"/>
    </row>
    <row r="946" ht="12.75" customHeight="1">
      <c r="G946" s="78"/>
    </row>
    <row r="947" ht="12.75" customHeight="1">
      <c r="G947" s="78"/>
    </row>
    <row r="948" ht="12.75" customHeight="1">
      <c r="G948" s="78"/>
    </row>
    <row r="949" ht="12.75" customHeight="1">
      <c r="G949" s="78"/>
    </row>
    <row r="950" ht="12.75" customHeight="1">
      <c r="G950" s="78"/>
    </row>
    <row r="951" ht="12.75" customHeight="1">
      <c r="G951" s="78"/>
    </row>
    <row r="952" ht="12.75" customHeight="1">
      <c r="G952" s="78"/>
    </row>
    <row r="953" ht="12.75" customHeight="1">
      <c r="G953" s="78"/>
    </row>
    <row r="954" ht="12.75" customHeight="1">
      <c r="G954" s="78"/>
    </row>
    <row r="955" ht="12.75" customHeight="1">
      <c r="G955" s="78"/>
    </row>
    <row r="956" ht="12.75" customHeight="1">
      <c r="G956" s="78"/>
    </row>
    <row r="957" ht="12.75" customHeight="1">
      <c r="G957" s="78"/>
    </row>
    <row r="958" ht="12.75" customHeight="1">
      <c r="G958" s="78"/>
    </row>
    <row r="959" ht="12.75" customHeight="1">
      <c r="G959" s="78"/>
    </row>
    <row r="960" ht="12.75" customHeight="1">
      <c r="G960" s="78"/>
    </row>
    <row r="961" ht="12.75" customHeight="1">
      <c r="G961" s="78"/>
    </row>
    <row r="962" ht="12.75" customHeight="1">
      <c r="G962" s="78"/>
    </row>
    <row r="963" ht="12.75" customHeight="1">
      <c r="G963" s="78"/>
    </row>
    <row r="964" ht="12.75" customHeight="1">
      <c r="G964" s="78"/>
    </row>
    <row r="965" ht="12.75" customHeight="1">
      <c r="G965" s="78"/>
    </row>
    <row r="966" ht="12.75" customHeight="1">
      <c r="G966" s="78"/>
    </row>
    <row r="967" ht="12.75" customHeight="1">
      <c r="G967" s="78"/>
    </row>
    <row r="968" ht="12.75" customHeight="1">
      <c r="G968" s="78"/>
    </row>
    <row r="969" ht="12.75" customHeight="1">
      <c r="G969" s="78"/>
    </row>
    <row r="970" ht="12.75" customHeight="1">
      <c r="G970" s="78"/>
    </row>
    <row r="971" ht="12.75" customHeight="1">
      <c r="G971" s="78"/>
    </row>
    <row r="972" ht="12.75" customHeight="1">
      <c r="G972" s="78"/>
    </row>
    <row r="973" ht="12.75" customHeight="1">
      <c r="G973" s="78"/>
    </row>
    <row r="974" ht="12.75" customHeight="1">
      <c r="G974" s="78"/>
    </row>
    <row r="975" ht="12.75" customHeight="1">
      <c r="G975" s="78"/>
    </row>
    <row r="976" ht="12.75" customHeight="1">
      <c r="G976" s="78"/>
    </row>
    <row r="977" ht="12.75" customHeight="1">
      <c r="G977" s="78"/>
    </row>
    <row r="978" ht="12.75" customHeight="1">
      <c r="G978" s="78"/>
    </row>
    <row r="979" ht="12.75" customHeight="1">
      <c r="G979" s="78"/>
    </row>
    <row r="980" ht="12.75" customHeight="1">
      <c r="G980" s="78"/>
    </row>
    <row r="981" ht="12.75" customHeight="1">
      <c r="G981" s="78"/>
    </row>
    <row r="982" ht="12.75" customHeight="1">
      <c r="G982" s="78"/>
    </row>
    <row r="983" ht="12.75" customHeight="1">
      <c r="G983" s="78"/>
    </row>
    <row r="984" ht="12.75" customHeight="1">
      <c r="G984" s="78"/>
    </row>
    <row r="985" ht="12.75" customHeight="1">
      <c r="G985" s="78"/>
    </row>
    <row r="986" ht="12.75" customHeight="1">
      <c r="G986" s="78"/>
    </row>
    <row r="987" ht="12.75" customHeight="1">
      <c r="G987" s="78"/>
    </row>
    <row r="988" ht="12.75" customHeight="1">
      <c r="G988" s="78"/>
    </row>
    <row r="989" ht="12.75" customHeight="1">
      <c r="G989" s="78"/>
    </row>
    <row r="990" ht="12.75" customHeight="1">
      <c r="G990" s="78"/>
    </row>
    <row r="991" ht="12.75" customHeight="1">
      <c r="G991" s="78"/>
    </row>
    <row r="992" ht="12.75" customHeight="1">
      <c r="G992" s="78"/>
    </row>
    <row r="993" ht="12.75" customHeight="1">
      <c r="G993" s="78"/>
    </row>
    <row r="994" ht="12.75" customHeight="1">
      <c r="G994" s="78"/>
    </row>
    <row r="995" ht="12.75" customHeight="1">
      <c r="G995" s="78"/>
    </row>
    <row r="996" ht="12.75" customHeight="1">
      <c r="G996" s="78"/>
    </row>
    <row r="997" ht="12.75" customHeight="1">
      <c r="G997" s="78"/>
    </row>
    <row r="998" ht="12.75" customHeight="1">
      <c r="G998" s="78"/>
    </row>
    <row r="999" ht="12.75" customHeight="1">
      <c r="G999" s="78"/>
    </row>
  </sheetData>
  <printOptions/>
  <pageMargins bottom="0.7875" footer="0.0" header="0.0" left="0.7875" right="0.7875" top="0.7875"/>
  <pageSetup paperSize="9" orientation="portrait"/>
  <drawing r:id="rId1"/>
</worksheet>
</file>